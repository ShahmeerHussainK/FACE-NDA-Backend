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ustomProperty1.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512" codeName="{51196F13-6AD0-C1B8-E2B4-A1F9AE17003E}"/>
  <workbookPr codeName="ThisWorkbook"/>
  <mc:AlternateContent xmlns:mc="http://schemas.openxmlformats.org/markup-compatibility/2006">
    <mc:Choice Requires="x15">
      <x15ac:absPath xmlns:x15ac="http://schemas.microsoft.com/office/spreadsheetml/2010/11/ac" url="/Users/choicedna/Downloads/"/>
    </mc:Choice>
  </mc:AlternateContent>
  <xr:revisionPtr revIDLastSave="0" documentId="8_{710BBC5F-EF82-DD43-B5C3-567E3A142589}" xr6:coauthVersionLast="43" xr6:coauthVersionMax="43" xr10:uidLastSave="{00000000-0000-0000-0000-000000000000}"/>
  <bookViews>
    <workbookView xWindow="0" yWindow="460" windowWidth="28800" windowHeight="16180" activeTab="1" xr2:uid="{00000000-000D-0000-FFFF-FFFF00000000}"/>
  </bookViews>
  <sheets>
    <sheet name="Do not edit" sheetId="1" r:id="rId1"/>
    <sheet name="Edit This Sheet" sheetId="2" r:id="rId2"/>
    <sheet name="Summary" sheetId="5" r:id="rId3"/>
    <sheet name="Export" sheetId="6" state="hidden" r:id="rId4"/>
    <sheet name="Inputs" sheetId="4" state="hidden" r:id="rId5"/>
  </sheets>
  <functionGroups builtInGroupCount="19"/>
  <definedNames>
    <definedName name="_xlnm.Print_Area" localSheetId="1">'Edit This Sheet'!$A$1:$D$42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30" i="2" l="1"/>
  <c r="D1" i="2"/>
  <c r="L17" i="4" l="1"/>
  <c r="L16" i="4"/>
  <c r="B35" i="1" l="1"/>
  <c r="C97" i="5" l="1"/>
  <c r="D97" i="5" s="1"/>
  <c r="C96" i="5"/>
  <c r="D96" i="5" s="1"/>
  <c r="C95" i="5"/>
  <c r="D95" i="5" s="1"/>
  <c r="C94" i="5"/>
  <c r="D94" i="5" s="1"/>
  <c r="C93" i="5"/>
  <c r="D93" i="5" s="1"/>
  <c r="C92" i="5"/>
  <c r="D92" i="5" s="1"/>
  <c r="C91" i="5"/>
  <c r="D91" i="5" s="1"/>
  <c r="C90" i="5"/>
  <c r="D90" i="5" s="1"/>
  <c r="C89" i="5"/>
  <c r="D89" i="5" s="1"/>
  <c r="C88" i="5"/>
  <c r="D88" i="5" s="1"/>
  <c r="C87" i="5"/>
  <c r="D87" i="5" s="1"/>
  <c r="C86" i="5"/>
  <c r="D86" i="5" s="1"/>
  <c r="C85" i="5"/>
  <c r="D85" i="5" s="1"/>
  <c r="C84" i="5"/>
  <c r="D84" i="5" s="1"/>
  <c r="C83" i="5"/>
  <c r="D83" i="5" s="1"/>
  <c r="C75" i="5"/>
  <c r="D75" i="5" s="1"/>
  <c r="C72" i="5"/>
  <c r="D72" i="5" s="1"/>
  <c r="C74" i="5"/>
  <c r="D74" i="5" s="1"/>
  <c r="C76" i="5"/>
  <c r="D76" i="5" s="1"/>
  <c r="C81" i="5"/>
  <c r="D81" i="5" s="1"/>
  <c r="C79" i="5"/>
  <c r="D79" i="5" s="1"/>
  <c r="C77" i="5"/>
  <c r="D77" i="5" s="1"/>
  <c r="C73" i="5"/>
  <c r="D73" i="5" s="1"/>
  <c r="C71" i="5"/>
  <c r="D71" i="5" s="1"/>
  <c r="C80" i="5"/>
  <c r="D80" i="5" s="1"/>
  <c r="C78" i="5"/>
  <c r="D78" i="5" s="1"/>
  <c r="C82" i="5"/>
  <c r="D82" i="5" s="1"/>
  <c r="D3" i="6"/>
  <c r="B3" i="6"/>
  <c r="C196" i="4"/>
  <c r="C215" i="4" s="1"/>
  <c r="D215" i="4" s="1"/>
  <c r="C164" i="4"/>
  <c r="C183" i="4" s="1"/>
  <c r="D183" i="4" s="1"/>
  <c r="C132" i="4"/>
  <c r="C145" i="4" s="1"/>
  <c r="D145" i="4" s="1"/>
  <c r="C100" i="4"/>
  <c r="C107" i="4" s="1"/>
  <c r="D107" i="4" s="1"/>
  <c r="C113" i="4"/>
  <c r="D113" i="4" s="1"/>
  <c r="C68" i="4"/>
  <c r="C93" i="4" s="1"/>
  <c r="D93" i="4" s="1"/>
  <c r="C32" i="5"/>
  <c r="D32" i="5" s="1"/>
  <c r="C33" i="5"/>
  <c r="D33" i="5" s="1"/>
  <c r="C38" i="5"/>
  <c r="D38" i="5" s="1"/>
  <c r="C24" i="5"/>
  <c r="D24" i="5" s="1"/>
  <c r="C70" i="5"/>
  <c r="D70" i="5" s="1"/>
  <c r="C62" i="5"/>
  <c r="D62" i="5" s="1"/>
  <c r="C3" i="5"/>
  <c r="D3" i="5" s="1"/>
  <c r="C44" i="5"/>
  <c r="D44" i="5" s="1"/>
  <c r="C42" i="5"/>
  <c r="D42" i="5" s="1"/>
  <c r="C46" i="5"/>
  <c r="D46" i="5" s="1"/>
  <c r="C67" i="5"/>
  <c r="D67" i="5" s="1"/>
  <c r="C63" i="5"/>
  <c r="D63" i="5" s="1"/>
  <c r="C58" i="5"/>
  <c r="D58" i="5" s="1"/>
  <c r="C56" i="5"/>
  <c r="D56" i="5" s="1"/>
  <c r="C27" i="5"/>
  <c r="D27" i="5" s="1"/>
  <c r="C29" i="5"/>
  <c r="D29" i="5" s="1"/>
  <c r="C34" i="5"/>
  <c r="D34" i="5" s="1"/>
  <c r="C37" i="5"/>
  <c r="D37" i="5" s="1"/>
  <c r="C54" i="5"/>
  <c r="D54" i="5" s="1"/>
  <c r="C57" i="5"/>
  <c r="D57" i="5" s="1"/>
  <c r="C48" i="5"/>
  <c r="D48" i="5" s="1"/>
  <c r="C59" i="5"/>
  <c r="D59" i="5" s="1"/>
  <c r="C28" i="5"/>
  <c r="D28" i="5" s="1"/>
  <c r="C39" i="5"/>
  <c r="D39" i="5" s="1"/>
  <c r="C45" i="5"/>
  <c r="D45" i="5" s="1"/>
  <c r="C51" i="5"/>
  <c r="D51" i="5" s="1"/>
  <c r="C50" i="5"/>
  <c r="D50" i="5" s="1"/>
  <c r="C64" i="5"/>
  <c r="D64" i="5" s="1"/>
  <c r="C61" i="5"/>
  <c r="D61" i="5" s="1"/>
  <c r="C25" i="5"/>
  <c r="D25" i="5" s="1"/>
  <c r="C35" i="5"/>
  <c r="D35" i="5" s="1"/>
  <c r="C40" i="5"/>
  <c r="D40" i="5" s="1"/>
  <c r="C53" i="5"/>
  <c r="D53" i="5" s="1"/>
  <c r="C69" i="5"/>
  <c r="D69" i="5" s="1"/>
  <c r="C22" i="5"/>
  <c r="D22" i="5" s="1"/>
  <c r="C20" i="5"/>
  <c r="D20" i="5" s="1"/>
  <c r="C18" i="5"/>
  <c r="D18" i="5" s="1"/>
  <c r="C16" i="5"/>
  <c r="D16" i="5" s="1"/>
  <c r="C14" i="5"/>
  <c r="D14" i="5" s="1"/>
  <c r="C12" i="5"/>
  <c r="D12" i="5" s="1"/>
  <c r="C10" i="5"/>
  <c r="D10" i="5" s="1"/>
  <c r="C8" i="5"/>
  <c r="D8" i="5"/>
  <c r="C6" i="5"/>
  <c r="D6" i="5" s="1"/>
  <c r="C30" i="5"/>
  <c r="D30" i="5" s="1"/>
  <c r="C43" i="5"/>
  <c r="D43" i="5" s="1"/>
  <c r="C41" i="5"/>
  <c r="D41" i="5" s="1"/>
  <c r="C49" i="5"/>
  <c r="D49" i="5" s="1"/>
  <c r="C47" i="5"/>
  <c r="D47" i="5" s="1"/>
  <c r="C65" i="5"/>
  <c r="D65" i="5" s="1"/>
  <c r="C60" i="5"/>
  <c r="D60" i="5" s="1"/>
  <c r="C23" i="5"/>
  <c r="D23" i="5" s="1"/>
  <c r="C26" i="5"/>
  <c r="D26" i="5" s="1"/>
  <c r="C31" i="5"/>
  <c r="D31" i="5" s="1"/>
  <c r="C36" i="5"/>
  <c r="D36" i="5" s="1"/>
  <c r="C52" i="5"/>
  <c r="D52" i="5" s="1"/>
  <c r="C55" i="5"/>
  <c r="D55" i="5" s="1"/>
  <c r="C68" i="5"/>
  <c r="D68" i="5" s="1"/>
  <c r="C66" i="5"/>
  <c r="D66" i="5" s="1"/>
  <c r="C4" i="5"/>
  <c r="D4" i="5" s="1"/>
  <c r="C21" i="5"/>
  <c r="D21" i="5" s="1"/>
  <c r="C19" i="5"/>
  <c r="D19" i="5" s="1"/>
  <c r="C17" i="5"/>
  <c r="D17" i="5" s="1"/>
  <c r="C15" i="5"/>
  <c r="D15" i="5" s="1"/>
  <c r="C13" i="5"/>
  <c r="D13" i="5" s="1"/>
  <c r="C11" i="5"/>
  <c r="D11" i="5" s="1"/>
  <c r="C9" i="5"/>
  <c r="D9" i="5" s="1"/>
  <c r="C7" i="5"/>
  <c r="D7" i="5" s="1"/>
  <c r="C5" i="5"/>
  <c r="D5" i="5" s="1"/>
  <c r="C221" i="4"/>
  <c r="D221" i="4" s="1"/>
  <c r="C165" i="4"/>
  <c r="D165" i="4" s="1"/>
  <c r="C151" i="4"/>
  <c r="D151" i="4" s="1"/>
  <c r="C139" i="4"/>
  <c r="D139" i="4" s="1"/>
  <c r="C133" i="4"/>
  <c r="D133" i="4" s="1"/>
  <c r="C119" i="4"/>
  <c r="D119" i="4" s="1"/>
  <c r="C125" i="4"/>
  <c r="D125" i="4" s="1"/>
  <c r="B28" i="1"/>
  <c r="D35" i="1"/>
  <c r="S35" i="5" l="1"/>
  <c r="C75" i="4"/>
  <c r="D75" i="4" s="1"/>
  <c r="C177" i="4"/>
  <c r="D177" i="4" s="1"/>
  <c r="C81" i="4"/>
  <c r="D81" i="4" s="1"/>
  <c r="C171" i="4"/>
  <c r="D171" i="4" s="1"/>
  <c r="C69" i="4"/>
  <c r="D69" i="4" s="1"/>
  <c r="C189" i="4"/>
  <c r="D189" i="4" s="1"/>
  <c r="C197" i="4"/>
  <c r="D197" i="4" s="1"/>
  <c r="C101" i="4"/>
  <c r="D101" i="4" s="1"/>
  <c r="D100" i="4" s="1"/>
  <c r="C157" i="4"/>
  <c r="D157" i="4" s="1"/>
  <c r="D132" i="4" s="1"/>
  <c r="C203" i="4"/>
  <c r="D203" i="4" s="1"/>
  <c r="C87" i="4"/>
  <c r="D87" i="4" s="1"/>
  <c r="C209" i="4"/>
  <c r="D209" i="4" s="1"/>
  <c r="S24" i="5"/>
  <c r="S38" i="5"/>
  <c r="R38" i="5"/>
  <c r="S19" i="5"/>
  <c r="S85" i="5"/>
  <c r="R88" i="5" s="1"/>
  <c r="S79" i="5"/>
  <c r="R82" i="5" s="1"/>
  <c r="D68" i="4"/>
  <c r="S94" i="5"/>
  <c r="R97" i="5" s="1"/>
  <c r="S29" i="5"/>
  <c r="R32" i="5" s="1"/>
  <c r="D164" i="4"/>
  <c r="S67" i="5"/>
  <c r="T70" i="5" s="1"/>
  <c r="S89" i="5"/>
  <c r="S50" i="5"/>
  <c r="S71" i="5"/>
  <c r="S41" i="5"/>
  <c r="D196" i="4" l="1"/>
  <c r="T92" i="5"/>
  <c r="Q92" i="5"/>
  <c r="R92" i="5"/>
  <c r="S70" i="5"/>
  <c r="T38" i="5"/>
  <c r="S32" i="5"/>
  <c r="T32" i="5"/>
  <c r="Q32" i="5"/>
  <c r="T97" i="5"/>
  <c r="S97" i="5"/>
  <c r="S92" i="5"/>
  <c r="Q70" i="5"/>
  <c r="Q97" i="5"/>
  <c r="Q38" i="5"/>
  <c r="R70" i="5"/>
  <c r="T88" i="5"/>
  <c r="Q88" i="5"/>
  <c r="S88" i="5"/>
  <c r="R44" i="5"/>
  <c r="Q44" i="5"/>
  <c r="S44" i="5"/>
  <c r="T44" i="5"/>
  <c r="T74" i="5"/>
  <c r="Q74" i="5"/>
  <c r="S74" i="5"/>
  <c r="R74" i="5"/>
  <c r="Q53" i="5"/>
  <c r="R53" i="5"/>
  <c r="T53" i="5"/>
  <c r="S53" i="5"/>
  <c r="T82" i="5"/>
  <c r="S82" i="5"/>
  <c r="Q82" i="5"/>
  <c r="R22" i="5"/>
  <c r="Q22" i="5"/>
  <c r="T22" i="5"/>
  <c r="S22" i="5"/>
  <c r="Q27" i="5"/>
  <c r="T27" i="5"/>
  <c r="S27" i="5"/>
  <c r="R27" i="5"/>
  <c r="S90" i="5" l="1"/>
  <c r="B12" i="2" s="1"/>
  <c r="B26" i="1" s="1"/>
  <c r="S68" i="5"/>
  <c r="B4" i="2" s="1"/>
  <c r="B18" i="1" s="1"/>
  <c r="S30" i="5"/>
  <c r="S36" i="5"/>
  <c r="S25" i="5"/>
  <c r="S20" i="5"/>
  <c r="B9" i="2" s="1"/>
  <c r="B23" i="1" s="1"/>
  <c r="S86" i="5"/>
  <c r="B11" i="2" s="1"/>
  <c r="B25" i="1" s="1"/>
  <c r="S95" i="5"/>
  <c r="B13" i="2" s="1"/>
  <c r="B27" i="1" s="1"/>
  <c r="S72" i="5"/>
  <c r="B8" i="2" s="1"/>
  <c r="B22" i="1" s="1"/>
  <c r="S42" i="5"/>
  <c r="S51" i="5"/>
  <c r="B7" i="2" s="1"/>
  <c r="B21" i="1" s="1"/>
  <c r="S80" i="5"/>
  <c r="B10" i="2" s="1"/>
  <c r="B24" i="1" s="1"/>
  <c r="B5" i="2" l="1"/>
  <c r="B19" i="1" s="1"/>
  <c r="B6" i="2"/>
  <c r="B20" i="1" s="1"/>
  <c r="A17" i="2" l="1"/>
  <c r="D32" i="1" l="1"/>
  <c r="C37" i="4"/>
  <c r="C56" i="4" s="1"/>
  <c r="D56" i="4" s="1"/>
  <c r="C50" i="4" l="1"/>
  <c r="D50" i="4" s="1"/>
  <c r="C38" i="4"/>
  <c r="D38" i="4" s="1"/>
  <c r="C44" i="4"/>
  <c r="D44" i="4" s="1"/>
  <c r="C62" i="4"/>
  <c r="D62" i="4" s="1"/>
  <c r="D37" i="4" l="1"/>
  <c r="C14" i="2" l="1"/>
  <c r="A33" i="1" s="1"/>
  <c r="B30" i="1" l="1"/>
</calcChain>
</file>

<file path=xl/sharedStrings.xml><?xml version="1.0" encoding="utf-8"?>
<sst xmlns="http://schemas.openxmlformats.org/spreadsheetml/2006/main" count="1235" uniqueCount="400">
  <si>
    <t>EDFPC is the latest technological system that offers a preliminary report on whether two people could share relationship. EDFPC is a manual study of facial traits and a comparison of the hereditary characteristics of two individuals.</t>
  </si>
  <si>
    <t>Report Findings</t>
  </si>
  <si>
    <t>Facial Traits</t>
  </si>
  <si>
    <t>Hereditary Characteristics</t>
  </si>
  <si>
    <t>Facial Pattern:</t>
  </si>
  <si>
    <t>Cleft Chin:</t>
  </si>
  <si>
    <t>Eyebrow Pattern:</t>
  </si>
  <si>
    <t>Widow's Peak:</t>
  </si>
  <si>
    <t>Eye Pattern:</t>
  </si>
  <si>
    <t>Dimples:</t>
  </si>
  <si>
    <t>Nose Pattern:</t>
  </si>
  <si>
    <t>Freckles:</t>
  </si>
  <si>
    <t>Ear Pattern:</t>
  </si>
  <si>
    <t>Hair Color:</t>
  </si>
  <si>
    <t>Lip Pattern:</t>
  </si>
  <si>
    <t>Eye Colors:</t>
  </si>
  <si>
    <t>Mouth Pattern:</t>
  </si>
  <si>
    <t>Free Earlobe:</t>
  </si>
  <si>
    <t>Cheek Pattern:</t>
  </si>
  <si>
    <t>Connected Eyebrows:</t>
  </si>
  <si>
    <t>Head Pattern:</t>
  </si>
  <si>
    <t>Blood Type:</t>
  </si>
  <si>
    <t>Chin Pattern:</t>
  </si>
  <si>
    <t>Skin Pattern:</t>
  </si>
  <si>
    <t>Low Relatedness</t>
  </si>
  <si>
    <t>High Relatedness</t>
  </si>
  <si>
    <t>TOTAL MATCH PERCENTAGE:</t>
  </si>
  <si>
    <t>Report Number:</t>
  </si>
  <si>
    <t>Report Date:</t>
  </si>
  <si>
    <t>Testing Methodology</t>
  </si>
  <si>
    <t>Possibility of relationship is determined by calculating the Total Possible Match Locations with the Actually Match Locations found by comparing both pictures and any hereditary characteristic information submitted. The objective in proving relationship is to rank as high as possible with each section of the Total Possible Match Locations. The lower the Actual Match Location the less likely the two individuals are related. These numbers are tabulated into a graph format. After calculating the findings, if the Total Match Percentage is under 50% this would suggest that the two parties analyzed would NOT share relationship. If the number is over 50%, it would strongly suggest relationship. In either case a recommendation to follow up with an actual DNA paternity test may be suggested. 
Calculated data is analyzed using Face It DNA Technology LLC’s proprietary algorithm to determine possibility of relationship.</t>
  </si>
  <si>
    <t>For Personal Knowledge Only</t>
  </si>
  <si>
    <t>Results from "Electronic DNA Facial Point Connectivity" are not admissible in a court of law. Court admissible test should have a “chain of custody”. The chain of custody refers to the various chain of "hands" that an actual blood draw or mouth swab sample passes through. The photos submitted for this report were manually reviewed prior to this report’s release. This report should not take the place of a physician’s order or the results from a blood test. This report was based on Electronic DNA Facial Point Connectivity and not an actual DNA specimen collection.</t>
  </si>
  <si>
    <t xml:space="preserve">Report Number: </t>
  </si>
  <si>
    <t>TPM</t>
  </si>
  <si>
    <t>AML</t>
  </si>
  <si>
    <t>5 Facial Pattern:</t>
  </si>
  <si>
    <t>5 Window's Peak:</t>
  </si>
  <si>
    <t>9 Nose Pattern:</t>
  </si>
  <si>
    <t>5 Freckles:</t>
  </si>
  <si>
    <t>5 Ear Pattern:</t>
  </si>
  <si>
    <t>5 Hair Color:</t>
  </si>
  <si>
    <t>5 Lip Pattern:</t>
  </si>
  <si>
    <t>5 Eye Color:</t>
  </si>
  <si>
    <t>5 Mouth Pattern:</t>
  </si>
  <si>
    <t>5 Free Earlobe:</t>
  </si>
  <si>
    <t>5 Cheek Pattern:</t>
  </si>
  <si>
    <t>5 Connected Eyebrows:</t>
  </si>
  <si>
    <t>5 Head Pattern:</t>
  </si>
  <si>
    <t>9 Blood Type:</t>
  </si>
  <si>
    <t>5 Chin Pattern:</t>
  </si>
  <si>
    <r>
      <rPr>
        <sz val="11"/>
        <color rgb="FFFF0000"/>
        <rFont val="Calibri (Body)"/>
      </rPr>
      <t>TPM</t>
    </r>
    <r>
      <rPr>
        <sz val="11"/>
        <color theme="1"/>
        <rFont val="Calibri"/>
        <family val="2"/>
        <scheme val="minor"/>
      </rPr>
      <t xml:space="preserve"> = Total Possible Match
</t>
    </r>
    <r>
      <rPr>
        <sz val="11"/>
        <color rgb="FFFF0000"/>
        <rFont val="Calibri (Body)"/>
      </rPr>
      <t>AML</t>
    </r>
    <r>
      <rPr>
        <sz val="11"/>
        <color theme="1"/>
        <rFont val="Calibri"/>
        <family val="2"/>
        <scheme val="minor"/>
      </rPr>
      <t xml:space="preserve"> = Actual Match Locations</t>
    </r>
  </si>
  <si>
    <t>Eyebrows Connected:</t>
  </si>
  <si>
    <t>Father's Hair Color:</t>
  </si>
  <si>
    <t>FACE IT DNA TECHNOLOGY LLC</t>
  </si>
  <si>
    <t>Southlake, TX 76092</t>
  </si>
  <si>
    <t>2600 E. Southlake Blvd Ste #120-172</t>
  </si>
  <si>
    <t>www.FaceDNATest.com</t>
  </si>
  <si>
    <t xml:space="preserve"> </t>
  </si>
  <si>
    <t>No</t>
  </si>
  <si>
    <t>Unknown</t>
  </si>
  <si>
    <t>833-322-3362</t>
  </si>
  <si>
    <t>support@facednatest.com</t>
  </si>
  <si>
    <t>13 Eyebrow Pattern:</t>
  </si>
  <si>
    <t>13 Eye Pattern:</t>
  </si>
  <si>
    <t>8 Dimples:</t>
  </si>
  <si>
    <t>8 Cleft Chin:</t>
  </si>
  <si>
    <t>Child's Hair Color:</t>
  </si>
  <si>
    <t>Child's Eye Color:</t>
  </si>
  <si>
    <t>Brown</t>
  </si>
  <si>
    <t>Hazel</t>
  </si>
  <si>
    <t>Yes</t>
  </si>
  <si>
    <t>A+</t>
  </si>
  <si>
    <t>Basic Input List</t>
  </si>
  <si>
    <t>Hair List</t>
  </si>
  <si>
    <t>Eye List</t>
  </si>
  <si>
    <t>Blood List</t>
  </si>
  <si>
    <t>AB+</t>
  </si>
  <si>
    <t>AB-</t>
  </si>
  <si>
    <t>A-</t>
  </si>
  <si>
    <t>B+</t>
  </si>
  <si>
    <t>B-</t>
  </si>
  <si>
    <t>O+</t>
  </si>
  <si>
    <t>O-</t>
  </si>
  <si>
    <t>Black</t>
  </si>
  <si>
    <t>Blonde</t>
  </si>
  <si>
    <t>Auburn</t>
  </si>
  <si>
    <t>Red</t>
  </si>
  <si>
    <t>White (Albinism)</t>
  </si>
  <si>
    <t>Blue</t>
  </si>
  <si>
    <t>Green</t>
  </si>
  <si>
    <t>Silver/Gray</t>
  </si>
  <si>
    <t>Red/Pink/Violet/Albinism</t>
  </si>
  <si>
    <r>
      <t>¯</t>
    </r>
    <r>
      <rPr>
        <sz val="11"/>
        <color theme="1"/>
        <rFont val="Calibri"/>
        <family val="2"/>
      </rPr>
      <t xml:space="preserve"> </t>
    </r>
    <r>
      <rPr>
        <sz val="8"/>
        <color rgb="FF222222"/>
        <rFont val="Arial"/>
        <family val="2"/>
      </rPr>
      <t xml:space="preserve">CHILD  </t>
    </r>
    <r>
      <rPr>
        <sz val="11"/>
        <color theme="1"/>
        <rFont val="Symbol"/>
        <family val="1"/>
        <charset val="2"/>
      </rPr>
      <t>¯</t>
    </r>
  </si>
  <si>
    <t>Blood Type Mapping</t>
  </si>
  <si>
    <r>
      <t xml:space="preserve">             </t>
    </r>
    <r>
      <rPr>
        <sz val="11"/>
        <color theme="1"/>
        <rFont val="Calibri"/>
        <family val="2"/>
      </rPr>
      <t xml:space="preserve">Child </t>
    </r>
    <r>
      <rPr>
        <sz val="11"/>
        <color theme="1"/>
        <rFont val="Symbol"/>
        <family val="1"/>
        <charset val="2"/>
      </rPr>
      <t>®</t>
    </r>
  </si>
  <si>
    <r>
      <t xml:space="preserve">          </t>
    </r>
    <r>
      <rPr>
        <sz val="11"/>
        <color theme="1"/>
        <rFont val="Symbol"/>
        <family val="1"/>
        <charset val="2"/>
      </rPr>
      <t>¯</t>
    </r>
    <r>
      <rPr>
        <sz val="11"/>
        <color theme="1"/>
        <rFont val="Calibri"/>
        <family val="2"/>
      </rPr>
      <t xml:space="preserve">AF       </t>
    </r>
  </si>
  <si>
    <t>Hair Color Matrix</t>
  </si>
  <si>
    <r>
      <t>¯</t>
    </r>
    <r>
      <rPr>
        <sz val="11"/>
        <color theme="1"/>
        <rFont val="Calibri"/>
        <family val="2"/>
      </rPr>
      <t xml:space="preserve">AF       </t>
    </r>
  </si>
  <si>
    <t xml:space="preserve">Unknown </t>
  </si>
  <si>
    <t>Eye Color</t>
  </si>
  <si>
    <t>Freckles</t>
  </si>
  <si>
    <t>Under 20%</t>
  </si>
  <si>
    <t>Under 21 - 50%</t>
  </si>
  <si>
    <t>Over 51 - 79%</t>
  </si>
  <si>
    <t>Over 80 - 89%</t>
  </si>
  <si>
    <t>Over 90%</t>
  </si>
  <si>
    <t>Child\Parent</t>
  </si>
  <si>
    <t>Father's Freckles:</t>
  </si>
  <si>
    <t>Father's Dimples:</t>
  </si>
  <si>
    <t>Father's Widow's Peak:</t>
  </si>
  <si>
    <t>Father's Cleft Chin:</t>
  </si>
  <si>
    <t>Father's Free Earlobe:</t>
  </si>
  <si>
    <t>Father's Father's Eye Color:</t>
  </si>
  <si>
    <t>Father's Eyebrows Connected:</t>
  </si>
  <si>
    <t>Father's Blood Type:</t>
  </si>
  <si>
    <t>Cleft Chin</t>
  </si>
  <si>
    <t>Widow's Peak</t>
  </si>
  <si>
    <t>Dimples</t>
  </si>
  <si>
    <t>Free Earlobes</t>
  </si>
  <si>
    <t>Eyebrows</t>
  </si>
  <si>
    <t>Alleged Father Middle Numbers</t>
  </si>
  <si>
    <t>Childs Middle Numbers</t>
  </si>
  <si>
    <t>LIP</t>
  </si>
  <si>
    <t xml:space="preserve">LIP  </t>
  </si>
  <si>
    <t>49       59                        (227</t>
  </si>
  <si>
    <t>Mouth left side</t>
  </si>
  <si>
    <t>1-3 difference=9</t>
  </si>
  <si>
    <t>4-5 diffeence=7</t>
  </si>
  <si>
    <t>6-7 difference=2</t>
  </si>
  <si>
    <t>7 or more=0</t>
  </si>
  <si>
    <t>50       57                        (244</t>
  </si>
  <si>
    <t>Top lip left to righ</t>
  </si>
  <si>
    <t>1-2 difference=9</t>
  </si>
  <si>
    <t>3-4 difference=7</t>
  </si>
  <si>
    <t>5-6 difference=2</t>
  </si>
  <si>
    <t>51       54                        (265</t>
  </si>
  <si>
    <t>52       53                        (282</t>
  </si>
  <si>
    <t>1-2 difference =9</t>
  </si>
  <si>
    <t>3-5 difference=7</t>
  </si>
  <si>
    <t>8- 12 difference =2</t>
  </si>
  <si>
    <t>13 or more=0</t>
  </si>
  <si>
    <t>53       51                        (298</t>
  </si>
  <si>
    <t>6=2</t>
  </si>
  <si>
    <t>54       49                        (320</t>
  </si>
  <si>
    <t>4=7</t>
  </si>
  <si>
    <t>5 = 2</t>
  </si>
  <si>
    <t>6 or more =0</t>
  </si>
  <si>
    <t>55       48                        (343</t>
  </si>
  <si>
    <t>Mouth right side</t>
  </si>
  <si>
    <t>56       51                        (322</t>
  </si>
  <si>
    <t>Bottom Lip (top) left to right</t>
  </si>
  <si>
    <t>3-4=5</t>
  </si>
  <si>
    <t>5 or more =0</t>
  </si>
  <si>
    <t>57       53                        (300</t>
  </si>
  <si>
    <t>58       55                        (283</t>
  </si>
  <si>
    <t>4-6=5</t>
  </si>
  <si>
    <t>7 OR MORE =0</t>
  </si>
  <si>
    <t>59       56                        (265</t>
  </si>
  <si>
    <t>60       58                        (244</t>
  </si>
  <si>
    <t>61       58                        (236</t>
  </si>
  <si>
    <t>Top lip (bottom) left side</t>
  </si>
  <si>
    <t xml:space="preserve">5-7 difference=5 </t>
  </si>
  <si>
    <t>62       55                        (265</t>
  </si>
  <si>
    <t>Top lip (bottom) left to righ</t>
  </si>
  <si>
    <t>63       54                        (282</t>
  </si>
  <si>
    <t>64       52                        (298</t>
  </si>
  <si>
    <t>65       49                        (334</t>
  </si>
  <si>
    <t>Top lip (bottom) right side</t>
  </si>
  <si>
    <t>66       52                        (299</t>
  </si>
  <si>
    <t>Bottom Lip (top) right to left</t>
  </si>
  <si>
    <t>67       53                        (284</t>
  </si>
  <si>
    <t>Bottom Lip (top) center</t>
  </si>
  <si>
    <t>68       55                        (266</t>
  </si>
  <si>
    <t>Compare this middle # to other persons middle #</t>
  </si>
  <si>
    <t>Total from the middle # comparison</t>
  </si>
  <si>
    <t>Total from G-K the                            (answer will go on the MAIN sheet)</t>
  </si>
  <si>
    <t xml:space="preserve">Range </t>
  </si>
  <si>
    <t>180-160=9</t>
  </si>
  <si>
    <t>159-150=8</t>
  </si>
  <si>
    <t>149-139=7</t>
  </si>
  <si>
    <t>138-50=2</t>
  </si>
  <si>
    <t>49-0=0</t>
  </si>
  <si>
    <t>Left Brow</t>
  </si>
  <si>
    <t>18       51                        (168</t>
  </si>
  <si>
    <t>Left Eyebrow left to right</t>
  </si>
  <si>
    <t>19       46                        (185</t>
  </si>
  <si>
    <t>5-7 difference=2</t>
  </si>
  <si>
    <t>8 or more=0</t>
  </si>
  <si>
    <t>20       41                        (212</t>
  </si>
  <si>
    <t>1-6 differenec=9</t>
  </si>
  <si>
    <t>7-9 difference=7</t>
  </si>
  <si>
    <t>10-12 difference =2</t>
  </si>
  <si>
    <t>13 or more =0</t>
  </si>
  <si>
    <t>21       37                        (242</t>
  </si>
  <si>
    <t>17 or more=9</t>
  </si>
  <si>
    <t>14-16 difference=7</t>
  </si>
  <si>
    <t>13-7 difference=2</t>
  </si>
  <si>
    <t>6 or lower =0</t>
  </si>
  <si>
    <t>22       36                        (271</t>
  </si>
  <si>
    <t>15 or more =9</t>
  </si>
  <si>
    <t>14-10 difference=7</t>
  </si>
  <si>
    <t>9-8 difference =2</t>
  </si>
  <si>
    <t>7 or lower =0</t>
  </si>
  <si>
    <t>Total from G-J</t>
  </si>
  <si>
    <t>Range</t>
  </si>
  <si>
    <t>45-40=9</t>
  </si>
  <si>
    <t>39-30=7</t>
  </si>
  <si>
    <t>29-10=2</t>
  </si>
  <si>
    <t>9-0=0</t>
  </si>
  <si>
    <t xml:space="preserve">Right Brow </t>
  </si>
  <si>
    <t>23       33                        (306</t>
  </si>
  <si>
    <t>Right Eyebrow left to right</t>
  </si>
  <si>
    <t>13 or more =9</t>
  </si>
  <si>
    <t>10-12 difference =7</t>
  </si>
  <si>
    <t>8-9 difference=2</t>
  </si>
  <si>
    <t>24       30                        (333</t>
  </si>
  <si>
    <t>18 or more =9</t>
  </si>
  <si>
    <t>14-17 difference =7</t>
  </si>
  <si>
    <t>13-8 difference = 2</t>
  </si>
  <si>
    <t>25       27                        (363</t>
  </si>
  <si>
    <t>26       26                        (391</t>
  </si>
  <si>
    <t>27       28                        (408</t>
  </si>
  <si>
    <t>14 or more =9</t>
  </si>
  <si>
    <t>10-13 difference =7</t>
  </si>
  <si>
    <t>7-9 difference =2</t>
  </si>
  <si>
    <t xml:space="preserve">Left Eye  </t>
  </si>
  <si>
    <t>37       51                        (194</t>
  </si>
  <si>
    <t>Left Eye (top) far left</t>
  </si>
  <si>
    <t>38       47                        (211</t>
  </si>
  <si>
    <t>Left Eye (top) left to right</t>
  </si>
  <si>
    <t>4-5 difference=7</t>
  </si>
  <si>
    <t>39       45                        (229</t>
  </si>
  <si>
    <t>1-6 difference=9</t>
  </si>
  <si>
    <t>7=5</t>
  </si>
  <si>
    <t>40       44                        (249</t>
  </si>
  <si>
    <t>8 or more =9</t>
  </si>
  <si>
    <t>6-7=5</t>
  </si>
  <si>
    <t>5 or lower =0</t>
  </si>
  <si>
    <t>41       47                        (229</t>
  </si>
  <si>
    <t>Left Eye (bottom) left to right</t>
  </si>
  <si>
    <t>1-4 dfference =9</t>
  </si>
  <si>
    <t>5-6=5</t>
  </si>
  <si>
    <t>42       49                        (210</t>
  </si>
  <si>
    <t>Left Eye (bottom) far right</t>
  </si>
  <si>
    <t>Total from G-K</t>
  </si>
  <si>
    <t>54-51=9</t>
  </si>
  <si>
    <t>50-48=8</t>
  </si>
  <si>
    <t>47-35=7</t>
  </si>
  <si>
    <t>34-12=2</t>
  </si>
  <si>
    <t>11-0=0</t>
  </si>
  <si>
    <t xml:space="preserve">Right Eye </t>
  </si>
  <si>
    <t>43       36                       (325</t>
  </si>
  <si>
    <t>Right Eye (top) far left</t>
  </si>
  <si>
    <t>9 or more =9</t>
  </si>
  <si>
    <t>6-8 difference =7</t>
  </si>
  <si>
    <t>5=2</t>
  </si>
  <si>
    <t>1-4 difference =0</t>
  </si>
  <si>
    <t>44       34                       (343</t>
  </si>
  <si>
    <t>Right Eye (top) left to right</t>
  </si>
  <si>
    <t>10-12 differnece =7</t>
  </si>
  <si>
    <t>6-9 difference =2</t>
  </si>
  <si>
    <t>45       33                       (361</t>
  </si>
  <si>
    <t>10-13 differnece =7</t>
  </si>
  <si>
    <t>46       32                       (377</t>
  </si>
  <si>
    <t>Right Eye (top) far right</t>
  </si>
  <si>
    <t>47       34                       (361</t>
  </si>
  <si>
    <t>Right Eye (bottom) left to right</t>
  </si>
  <si>
    <t>12 or more =9</t>
  </si>
  <si>
    <t>10-11 differnece =7</t>
  </si>
  <si>
    <t>5-9 difference =2</t>
  </si>
  <si>
    <t>4 or lower =0</t>
  </si>
  <si>
    <t>48       35                       (342</t>
  </si>
  <si>
    <t>47-41=7</t>
  </si>
  <si>
    <t>40-12=2</t>
  </si>
  <si>
    <t>Nose</t>
  </si>
  <si>
    <t>28       39                     (284</t>
  </si>
  <si>
    <t>Nose top to bottom</t>
  </si>
  <si>
    <t>11 or more =9</t>
  </si>
  <si>
    <t>8-10 difference =7</t>
  </si>
  <si>
    <t>7=2</t>
  </si>
  <si>
    <t>29       41                     (284</t>
  </si>
  <si>
    <t>7=7</t>
  </si>
  <si>
    <t>30       44                     (285</t>
  </si>
  <si>
    <t>8=7</t>
  </si>
  <si>
    <t>31       46                     (285</t>
  </si>
  <si>
    <t>1-5 difference =9</t>
  </si>
  <si>
    <t>6=5</t>
  </si>
  <si>
    <t>8 or more =0</t>
  </si>
  <si>
    <t>32       52                     (251</t>
  </si>
  <si>
    <t>Nose left to right</t>
  </si>
  <si>
    <t>1-2 differnece =9</t>
  </si>
  <si>
    <t>3-4 difference =7</t>
  </si>
  <si>
    <t>5-6 difference =2</t>
  </si>
  <si>
    <t>7 or more =0</t>
  </si>
  <si>
    <t>33       51                     (267</t>
  </si>
  <si>
    <t>34       49                     (283</t>
  </si>
  <si>
    <t>1-3 differnece =9</t>
  </si>
  <si>
    <t>4 =7</t>
  </si>
  <si>
    <t>35       47                     (300</t>
  </si>
  <si>
    <t>7 or more =9</t>
  </si>
  <si>
    <t>36       46                     (317</t>
  </si>
  <si>
    <t>81-59=9</t>
  </si>
  <si>
    <t>58-54=8</t>
  </si>
  <si>
    <t>53-20=2</t>
  </si>
  <si>
    <t>19-0=0</t>
  </si>
  <si>
    <t>Face</t>
  </si>
  <si>
    <t xml:space="preserve">    co_ordinate</t>
  </si>
  <si>
    <t>1       57                        (154</t>
  </si>
  <si>
    <t>Face Left to right</t>
  </si>
  <si>
    <t>2       60                        (156</t>
  </si>
  <si>
    <t>3       62                        (160</t>
  </si>
  <si>
    <t>top of left cheek</t>
  </si>
  <si>
    <t>4       64                        (165</t>
  </si>
  <si>
    <t>middle left cheek</t>
  </si>
  <si>
    <t>5       65                        (176</t>
  </si>
  <si>
    <t>bottom left cheek</t>
  </si>
  <si>
    <t>6       65                        (195</t>
  </si>
  <si>
    <t>7       63                        (221</t>
  </si>
  <si>
    <t>Chin Left to right</t>
  </si>
  <si>
    <t>8       61                        (252</t>
  </si>
  <si>
    <t>9       58                        (288</t>
  </si>
  <si>
    <t>10       55                        (324</t>
  </si>
  <si>
    <t>11       51                        (355</t>
  </si>
  <si>
    <t>12       48                        (382</t>
  </si>
  <si>
    <t>13       44                        (403</t>
  </si>
  <si>
    <t>bottom right cheek</t>
  </si>
  <si>
    <t>14       41                        (414</t>
  </si>
  <si>
    <t>middle right cheek</t>
  </si>
  <si>
    <t>15       37                        (420</t>
  </si>
  <si>
    <t>top right cheek</t>
  </si>
  <si>
    <t>16       33                        (426</t>
  </si>
  <si>
    <t>17       30                        (428</t>
  </si>
  <si>
    <t>Head right</t>
  </si>
  <si>
    <t>153-125=9</t>
  </si>
  <si>
    <t>124-119=8</t>
  </si>
  <si>
    <t>118-110=7</t>
  </si>
  <si>
    <t>109-39=2</t>
  </si>
  <si>
    <t>38-0=0</t>
  </si>
  <si>
    <t>Delta</t>
  </si>
  <si>
    <t>Score</t>
  </si>
  <si>
    <t>Lower</t>
  </si>
  <si>
    <t>Upper</t>
  </si>
  <si>
    <t>Val</t>
  </si>
  <si>
    <t>Segment 1</t>
  </si>
  <si>
    <t>Segment 2</t>
  </si>
  <si>
    <t>Segment 3</t>
  </si>
  <si>
    <t>Segment 4</t>
  </si>
  <si>
    <t>Subtotal</t>
  </si>
  <si>
    <t>Value</t>
  </si>
  <si>
    <t>Lip Data</t>
  </si>
  <si>
    <t>Left Eye</t>
  </si>
  <si>
    <t>Right Eye</t>
  </si>
  <si>
    <t>Right Brow</t>
  </si>
  <si>
    <t xml:space="preserve">Nose </t>
  </si>
  <si>
    <t>Total from F-I</t>
  </si>
  <si>
    <t>Left Ear</t>
  </si>
  <si>
    <t>Ear</t>
  </si>
  <si>
    <t>Right Ear</t>
  </si>
  <si>
    <t>36-29=9</t>
  </si>
  <si>
    <t>28-21=7</t>
  </si>
  <si>
    <t>20-16=2</t>
  </si>
  <si>
    <t>15-0=0</t>
  </si>
  <si>
    <t>Mouth</t>
  </si>
  <si>
    <t>72-60-=9</t>
  </si>
  <si>
    <t>59-40=7</t>
  </si>
  <si>
    <t>39-17=2</t>
  </si>
  <si>
    <t>16-0=0</t>
  </si>
  <si>
    <t>Left Check</t>
  </si>
  <si>
    <t>Right Check</t>
  </si>
  <si>
    <t>54-45=9</t>
  </si>
  <si>
    <t>44-29-7</t>
  </si>
  <si>
    <t>28-12=2</t>
  </si>
  <si>
    <t xml:space="preserve">Head </t>
  </si>
  <si>
    <t>Left Head</t>
  </si>
  <si>
    <t>36-30=9</t>
  </si>
  <si>
    <t>29-22=7</t>
  </si>
  <si>
    <t>21-10=2</t>
  </si>
  <si>
    <t>Chin</t>
  </si>
  <si>
    <t xml:space="preserve">Face </t>
  </si>
  <si>
    <t>Ears</t>
  </si>
  <si>
    <t>Cheek</t>
  </si>
  <si>
    <t>Head</t>
  </si>
  <si>
    <t>Report Type</t>
  </si>
  <si>
    <t>Basic</t>
  </si>
  <si>
    <t>55 Total Possible* Pro Only</t>
  </si>
  <si>
    <t>Pro</t>
  </si>
  <si>
    <t>Skin Min</t>
  </si>
  <si>
    <t>Skin max</t>
  </si>
  <si>
    <t>Total  Basic Inputs</t>
  </si>
  <si>
    <t>Total Pro Inputs</t>
  </si>
  <si>
    <t>Only Available In Pro Version</t>
  </si>
  <si>
    <t>NOT EVALUATED</t>
  </si>
  <si>
    <t>83 Total Possilbe Match</t>
  </si>
  <si>
    <t>13 Skin Pattern:</t>
  </si>
  <si>
    <t>Thank you for using the Cousin Version of Electronic DNA Facial Point Connectivity “EDFPC”.</t>
  </si>
  <si>
    <t>Alleged Cousin 1 - Anonymous</t>
  </si>
  <si>
    <t>Alleged Cousin 2 - Anonymous</t>
  </si>
  <si>
    <t>Alleged Cousin 1 Middle Numbers</t>
  </si>
  <si>
    <t>Alleged Cousin 2 Middle Numbers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</si>
</sst>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0.00_);_(* \(#,##0.00\);_(* &quot;-&quot;??_);_(@_)"/>
    <numFmt numFmtId="164" formatCode="[$-1009]mmmm\ d\,\ yyyy;@"/>
  </numFmts>
  <fonts count="44">
    <font>
      <sz val="11"/>
      <color theme="1"/>
      <name val="Calibri"/>
      <family val="2"/>
      <scheme val="minor"/>
    </font>
    <font>
      <b/>
      <sz val="11"/>
      <color theme="1"/>
      <name val="Calibri"/>
      <family val="2"/>
      <scheme val="minor"/>
    </font>
    <font>
      <sz val="14"/>
      <color theme="1"/>
      <name val="Arial"/>
      <family val="2"/>
    </font>
    <font>
      <u/>
      <sz val="11"/>
      <color theme="10"/>
      <name val="Calibri"/>
      <family val="2"/>
      <scheme val="minor"/>
    </font>
    <font>
      <sz val="10"/>
      <color theme="1"/>
      <name val="Arial"/>
      <family val="2"/>
    </font>
    <font>
      <sz val="10"/>
      <color theme="1"/>
      <name val="Calibri"/>
      <family val="2"/>
      <scheme val="minor"/>
    </font>
    <font>
      <b/>
      <sz val="10"/>
      <color theme="1"/>
      <name val="Arial"/>
      <family val="2"/>
    </font>
    <font>
      <b/>
      <sz val="10"/>
      <color theme="1"/>
      <name val="Calibri"/>
      <family val="2"/>
      <scheme val="minor"/>
    </font>
    <font>
      <sz val="8"/>
      <color theme="1"/>
      <name val="Arial"/>
      <family val="2"/>
    </font>
    <font>
      <b/>
      <i/>
      <sz val="12"/>
      <color theme="1"/>
      <name val="Arial"/>
      <family val="2"/>
    </font>
    <font>
      <b/>
      <i/>
      <sz val="12"/>
      <color theme="1"/>
      <name val="Calibri"/>
      <family val="2"/>
      <scheme val="minor"/>
    </font>
    <font>
      <sz val="10"/>
      <color rgb="FFFF0000"/>
      <name val="Arial"/>
      <family val="2"/>
    </font>
    <font>
      <sz val="10"/>
      <color rgb="FFFF0000"/>
      <name val="Calibri"/>
      <family val="2"/>
      <scheme val="minor"/>
    </font>
    <font>
      <sz val="8"/>
      <name val="Calibri"/>
      <family val="2"/>
      <scheme val="minor"/>
    </font>
    <font>
      <sz val="22"/>
      <color theme="5" tint="-0.249977111117893"/>
      <name val="Playbill"/>
      <family val="5"/>
    </font>
    <font>
      <sz val="11"/>
      <color rgb="FFFF0000"/>
      <name val="Calibri (Body)"/>
    </font>
    <font>
      <sz val="11"/>
      <color theme="1"/>
      <name val="Calibri"/>
      <family val="2"/>
      <scheme val="minor"/>
    </font>
    <font>
      <sz val="14"/>
      <color theme="1"/>
      <name val="Arial"/>
      <family val="2"/>
    </font>
    <font>
      <b/>
      <sz val="10"/>
      <color rgb="FFFF0000"/>
      <name val="Arial"/>
      <family val="2"/>
    </font>
    <font>
      <b/>
      <sz val="11"/>
      <color rgb="FFFF0000"/>
      <name val="Calibri"/>
      <family val="2"/>
      <scheme val="minor"/>
    </font>
    <font>
      <b/>
      <sz val="9.5"/>
      <color rgb="FF222222"/>
      <name val="Arial"/>
      <family val="2"/>
    </font>
    <font>
      <sz val="9"/>
      <color rgb="FF222222"/>
      <name val="Arial"/>
      <family val="2"/>
    </font>
    <font>
      <sz val="9.1"/>
      <color rgb="FF222222"/>
      <name val="Arial"/>
      <family val="2"/>
    </font>
    <font>
      <sz val="11"/>
      <color rgb="FF222222"/>
      <name val="Helvetica"/>
      <family val="2"/>
    </font>
    <font>
      <sz val="12"/>
      <color theme="1"/>
      <name val="Times New Roman"/>
      <family val="1"/>
    </font>
    <font>
      <sz val="11"/>
      <color theme="1"/>
      <name val="Symbol"/>
      <family val="1"/>
      <charset val="2"/>
    </font>
    <font>
      <sz val="11"/>
      <color theme="1"/>
      <name val="Calibri"/>
      <family val="2"/>
    </font>
    <font>
      <sz val="8"/>
      <color rgb="FF222222"/>
      <name val="Arial"/>
      <family val="2"/>
    </font>
    <font>
      <sz val="8"/>
      <color rgb="FFFF0000"/>
      <name val="Arial"/>
      <family val="2"/>
    </font>
    <font>
      <b/>
      <u/>
      <sz val="11"/>
      <color theme="1"/>
      <name val="Calibri"/>
      <family val="2"/>
      <scheme val="minor"/>
    </font>
    <font>
      <u/>
      <sz val="11"/>
      <color theme="1"/>
      <name val="Calibri"/>
      <family val="2"/>
    </font>
    <font>
      <b/>
      <sz val="14"/>
      <color rgb="FF222222"/>
      <name val="Arial"/>
      <family val="2"/>
    </font>
    <font>
      <u/>
      <sz val="12"/>
      <color theme="1"/>
      <name val="Times New Roman"/>
      <family val="1"/>
    </font>
    <font>
      <u/>
      <sz val="11"/>
      <color theme="1"/>
      <name val="Calibri"/>
      <family val="2"/>
      <scheme val="minor"/>
    </font>
    <font>
      <b/>
      <sz val="14"/>
      <color rgb="FFFF0000"/>
      <name val="Calibri"/>
      <family val="2"/>
      <scheme val="minor"/>
    </font>
    <font>
      <b/>
      <sz val="14"/>
      <color theme="1"/>
      <name val="Calibri"/>
      <family val="2"/>
      <scheme val="minor"/>
    </font>
    <font>
      <sz val="12"/>
      <color theme="1"/>
      <name val="Calibri"/>
      <family val="2"/>
      <scheme val="minor"/>
    </font>
    <font>
      <b/>
      <sz val="12"/>
      <color rgb="FFFF0000"/>
      <name val="Calibri"/>
      <family val="2"/>
    </font>
    <font>
      <b/>
      <sz val="12"/>
      <color rgb="FFFF0000"/>
      <name val="Calibri"/>
      <family val="2"/>
      <scheme val="minor"/>
    </font>
    <font>
      <b/>
      <sz val="12"/>
      <color theme="1"/>
      <name val="Calibri"/>
      <family val="2"/>
      <scheme val="minor"/>
    </font>
    <font>
      <b/>
      <sz val="8"/>
      <color theme="1"/>
      <name val="Arial"/>
      <family val="2"/>
    </font>
    <font>
      <b/>
      <sz val="9"/>
      <color theme="1"/>
      <name val="Arial"/>
      <family val="2"/>
    </font>
    <font>
      <b/>
      <sz val="18"/>
      <color theme="1"/>
      <name val="Arial"/>
      <family val="2"/>
    </font>
    <font>
      <b/>
      <sz val="10"/>
      <color rgb="FFFF0000"/>
      <name val="Calibri (Body)"/>
    </font>
  </fonts>
  <fills count="9">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4" tint="0.39997558519241921"/>
        <bgColor indexed="64"/>
      </patternFill>
    </fill>
  </fills>
  <borders count="45">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5"/>
      </left>
      <right/>
      <top style="thin">
        <color theme="5"/>
      </top>
      <bottom style="thin">
        <color theme="5"/>
      </bottom>
      <diagonal/>
    </border>
    <border>
      <left/>
      <right style="thin">
        <color theme="5"/>
      </right>
      <top style="thin">
        <color theme="5"/>
      </top>
      <bottom style="thin">
        <color theme="5"/>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indexed="64"/>
      </left>
      <right style="thin">
        <color auto="1"/>
      </right>
      <top style="thin">
        <color auto="1"/>
      </top>
      <bottom style="thin">
        <color auto="1"/>
      </bottom>
      <diagonal/>
    </border>
    <border>
      <left style="thin">
        <color indexed="64"/>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auto="1"/>
      </right>
      <top/>
      <bottom style="thin">
        <color auto="1"/>
      </bottom>
      <diagonal/>
    </border>
    <border>
      <left style="medium">
        <color indexed="64"/>
      </left>
      <right style="medium">
        <color indexed="64"/>
      </right>
      <top/>
      <bottom/>
      <diagonal/>
    </border>
    <border>
      <left/>
      <right/>
      <top/>
      <bottom style="medium">
        <color indexed="64"/>
      </bottom>
      <diagonal/>
    </border>
    <border>
      <left/>
      <right/>
      <top style="thin">
        <color indexed="64"/>
      </top>
      <bottom style="double">
        <color indexed="64"/>
      </bottom>
      <diagonal/>
    </border>
    <border>
      <left/>
      <right/>
      <top style="double">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top style="medium">
        <color indexed="64"/>
      </top>
      <bottom style="double">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style="double">
        <color indexed="64"/>
      </top>
      <bottom style="thin">
        <color indexed="64"/>
      </bottom>
      <diagonal/>
    </border>
    <border>
      <left/>
      <right/>
      <top/>
      <bottom style="double">
        <color indexed="64"/>
      </bottom>
      <diagonal/>
    </border>
    <border>
      <left style="thin">
        <color indexed="64"/>
      </left>
      <right style="thin">
        <color auto="1"/>
      </right>
      <top style="thin">
        <color auto="1"/>
      </top>
      <bottom style="double">
        <color indexed="64"/>
      </bottom>
      <diagonal/>
    </border>
    <border>
      <left style="thin">
        <color indexed="64"/>
      </left>
      <right style="medium">
        <color indexed="64"/>
      </right>
      <top style="thin">
        <color auto="1"/>
      </top>
      <bottom style="double">
        <color indexed="64"/>
      </bottom>
      <diagonal/>
    </border>
    <border>
      <left/>
      <right style="medium">
        <color indexed="64"/>
      </right>
      <top/>
      <bottom style="thin">
        <color auto="1"/>
      </bottom>
      <diagonal/>
    </border>
    <border>
      <left/>
      <right/>
      <top style="medium">
        <color indexed="64"/>
      </top>
      <bottom/>
      <diagonal/>
    </border>
    <border>
      <left style="thin">
        <color indexed="64"/>
      </left>
      <right style="thin">
        <color auto="1"/>
      </right>
      <top style="thin">
        <color auto="1"/>
      </top>
      <bottom/>
      <diagonal/>
    </border>
    <border>
      <left style="thin">
        <color indexed="64"/>
      </left>
      <right style="thin">
        <color auto="1"/>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thin">
        <color indexed="64"/>
      </left>
      <right style="medium">
        <color indexed="64"/>
      </right>
      <top style="thin">
        <color auto="1"/>
      </top>
      <bottom style="thin">
        <color auto="1"/>
      </bottom>
      <diagonal/>
    </border>
    <border>
      <left style="thin">
        <color indexed="64"/>
      </left>
      <right style="medium">
        <color indexed="64"/>
      </right>
      <top/>
      <bottom style="thin">
        <color auto="1"/>
      </bottom>
      <diagonal/>
    </border>
    <border>
      <left style="thin">
        <color indexed="64"/>
      </left>
      <right style="thin">
        <color auto="1"/>
      </right>
      <top style="thin">
        <color auto="1"/>
      </top>
      <bottom style="medium">
        <color indexed="64"/>
      </bottom>
      <diagonal/>
    </border>
    <border>
      <left style="thin">
        <color indexed="64"/>
      </left>
      <right style="medium">
        <color indexed="64"/>
      </right>
      <top style="thin">
        <color auto="1"/>
      </top>
      <bottom style="medium">
        <color indexed="64"/>
      </bottom>
      <diagonal/>
    </border>
  </borders>
  <cellStyleXfs count="5">
    <xf numFmtId="0" fontId="0" fillId="0" borderId="0"/>
    <xf numFmtId="0" fontId="3" fillId="0" borderId="0" applyNumberFormat="0" applyFill="0" applyBorder="0" applyAlignment="0" applyProtection="0"/>
    <xf numFmtId="43" fontId="16" fillId="0" borderId="0" applyFont="0" applyFill="0" applyBorder="0" applyAlignment="0" applyProtection="0"/>
    <xf numFmtId="9" fontId="16" fillId="0" borderId="0" applyFont="0" applyFill="0" applyBorder="0" applyAlignment="0" applyProtection="0"/>
    <xf numFmtId="0" fontId="36" fillId="0" borderId="0"/>
  </cellStyleXfs>
  <cellXfs count="246">
    <xf numFmtId="0" fontId="0" fillId="0" borderId="0" xfId="0"/>
    <xf numFmtId="0" fontId="2" fillId="0" borderId="0" xfId="0" applyFont="1" applyAlignment="1">
      <alignment horizontal="right" vertical="center" wrapText="1" indent="1"/>
    </xf>
    <xf numFmtId="0" fontId="4" fillId="0" borderId="0" xfId="0" applyFont="1" applyAlignment="1">
      <alignment horizontal="right" vertical="center" wrapText="1" indent="1"/>
    </xf>
    <xf numFmtId="0" fontId="6" fillId="0" borderId="0" xfId="0" applyFont="1" applyAlignment="1">
      <alignment vertical="top" wrapText="1"/>
    </xf>
    <xf numFmtId="0" fontId="0" fillId="0" borderId="0" xfId="0" applyFont="1" applyAlignment="1">
      <alignment horizontal="left" vertical="top" wrapText="1" indent="1"/>
    </xf>
    <xf numFmtId="0" fontId="8" fillId="0" borderId="0" xfId="0" applyFont="1" applyAlignment="1" applyProtection="1">
      <alignment horizontal="right" vertical="center" wrapText="1" indent="1"/>
      <protection hidden="1"/>
    </xf>
    <xf numFmtId="0" fontId="0" fillId="0" borderId="5" xfId="0" applyBorder="1" applyAlignment="1">
      <alignment horizontal="left" vertical="center"/>
    </xf>
    <xf numFmtId="10" fontId="2" fillId="0" borderId="0" xfId="0" applyNumberFormat="1" applyFont="1" applyAlignment="1">
      <alignment horizontal="left"/>
    </xf>
    <xf numFmtId="0" fontId="0" fillId="0" borderId="4" xfId="0" applyBorder="1" applyAlignment="1">
      <alignment horizontal="right" vertical="center"/>
    </xf>
    <xf numFmtId="0" fontId="0" fillId="0" borderId="6" xfId="0" applyBorder="1" applyAlignment="1">
      <alignment horizontal="right" vertical="center"/>
    </xf>
    <xf numFmtId="0" fontId="0" fillId="0" borderId="4" xfId="0" applyBorder="1" applyAlignment="1"/>
    <xf numFmtId="0" fontId="0" fillId="0" borderId="5" xfId="0" applyBorder="1" applyAlignment="1"/>
    <xf numFmtId="0" fontId="1" fillId="0" borderId="4" xfId="0" applyFont="1" applyBorder="1" applyAlignment="1">
      <alignment horizontal="left" vertical="center"/>
    </xf>
    <xf numFmtId="0" fontId="0" fillId="0" borderId="8" xfId="0" applyBorder="1" applyAlignment="1"/>
    <xf numFmtId="0" fontId="2" fillId="0" borderId="4" xfId="0" applyFont="1" applyBorder="1" applyAlignment="1">
      <alignment horizontal="left" vertical="center" wrapText="1"/>
    </xf>
    <xf numFmtId="0" fontId="2" fillId="0" borderId="0" xfId="0" applyFont="1" applyBorder="1" applyAlignment="1">
      <alignment horizontal="left" vertical="center" wrapText="1"/>
    </xf>
    <xf numFmtId="0" fontId="6" fillId="0" borderId="4" xfId="0" applyFont="1" applyBorder="1" applyAlignment="1">
      <alignment horizontal="left" vertical="center" wrapText="1"/>
    </xf>
    <xf numFmtId="0" fontId="6" fillId="0" borderId="6" xfId="0" applyFont="1" applyBorder="1" applyAlignment="1">
      <alignment horizontal="left" vertical="center" wrapText="1"/>
    </xf>
    <xf numFmtId="9" fontId="8" fillId="0" borderId="0" xfId="0" applyNumberFormat="1" applyFont="1" applyAlignment="1">
      <alignment horizontal="left"/>
    </xf>
    <xf numFmtId="10" fontId="8" fillId="0" borderId="0" xfId="0" applyNumberFormat="1" applyFont="1" applyAlignment="1">
      <alignment horizontal="right" vertical="center" wrapText="1"/>
    </xf>
    <xf numFmtId="10" fontId="8" fillId="0" borderId="0" xfId="0" applyNumberFormat="1" applyFont="1" applyFill="1" applyBorder="1" applyAlignment="1">
      <alignment horizontal="right" vertical="center" wrapText="1"/>
    </xf>
    <xf numFmtId="10" fontId="14" fillId="0" borderId="0" xfId="0" applyNumberFormat="1" applyFont="1" applyFill="1" applyBorder="1" applyAlignment="1">
      <alignment wrapText="1"/>
    </xf>
    <xf numFmtId="0" fontId="14" fillId="0" borderId="0" xfId="0" applyFont="1" applyFill="1" applyBorder="1" applyAlignment="1">
      <alignment wrapText="1"/>
    </xf>
    <xf numFmtId="9" fontId="8" fillId="0" borderId="0" xfId="0" applyNumberFormat="1" applyFont="1" applyFill="1" applyBorder="1" applyAlignment="1">
      <alignment horizontal="left"/>
    </xf>
    <xf numFmtId="0" fontId="2" fillId="0" borderId="0" xfId="0" applyFont="1" applyFill="1" applyBorder="1" applyAlignment="1">
      <alignment horizontal="right" vertical="center" wrapText="1" indent="1"/>
    </xf>
    <xf numFmtId="0" fontId="6" fillId="0" borderId="0" xfId="0" applyFont="1" applyAlignment="1">
      <alignment horizontal="left" vertical="top" wrapText="1" indent="1"/>
    </xf>
    <xf numFmtId="0" fontId="4" fillId="0" borderId="0" xfId="0" applyFont="1" applyAlignment="1">
      <alignment vertical="center" wrapText="1"/>
    </xf>
    <xf numFmtId="9" fontId="4" fillId="0" borderId="0" xfId="0" applyNumberFormat="1" applyFont="1" applyBorder="1" applyAlignment="1">
      <alignment horizontal="left" vertical="center" wrapText="1"/>
    </xf>
    <xf numFmtId="9" fontId="4" fillId="0" borderId="7" xfId="0" applyNumberFormat="1" applyFont="1" applyBorder="1" applyAlignment="1">
      <alignment horizontal="left" vertical="center" wrapText="1"/>
    </xf>
    <xf numFmtId="164" fontId="0" fillId="0" borderId="0" xfId="0" applyNumberFormat="1" applyAlignment="1">
      <alignment horizontal="left" vertical="top" wrapText="1"/>
    </xf>
    <xf numFmtId="164" fontId="0" fillId="0" borderId="0" xfId="0" applyNumberFormat="1" applyAlignment="1"/>
    <xf numFmtId="0" fontId="17" fillId="0" borderId="0" xfId="0" applyFont="1" applyAlignment="1">
      <alignment horizontal="right" vertical="center" wrapText="1" indent="1"/>
    </xf>
    <xf numFmtId="0" fontId="18" fillId="0" borderId="12" xfId="0" applyFont="1" applyBorder="1" applyAlignment="1">
      <alignment horizontal="left" vertical="center" wrapText="1"/>
    </xf>
    <xf numFmtId="0" fontId="18" fillId="0" borderId="4" xfId="0" applyFont="1" applyBorder="1" applyAlignment="1">
      <alignment horizontal="left" vertical="center" wrapText="1"/>
    </xf>
    <xf numFmtId="0" fontId="16" fillId="0" borderId="0" xfId="0" applyFont="1"/>
    <xf numFmtId="0" fontId="16" fillId="0" borderId="5" xfId="0" applyFont="1" applyBorder="1"/>
    <xf numFmtId="0" fontId="16" fillId="0" borderId="7" xfId="0" applyFont="1" applyBorder="1"/>
    <xf numFmtId="0" fontId="16" fillId="0" borderId="8" xfId="0" applyFont="1" applyBorder="1"/>
    <xf numFmtId="0" fontId="16" fillId="0" borderId="2" xfId="0" applyFont="1" applyBorder="1"/>
    <xf numFmtId="0" fontId="8" fillId="0" borderId="0" xfId="0" applyFont="1" applyAlignment="1">
      <alignment horizontal="justify" vertical="center" wrapText="1"/>
    </xf>
    <xf numFmtId="2" fontId="6" fillId="0" borderId="1" xfId="0" applyNumberFormat="1" applyFont="1" applyBorder="1" applyAlignment="1">
      <alignment horizontal="left" vertical="center" wrapText="1"/>
    </xf>
    <xf numFmtId="0" fontId="2" fillId="0" borderId="0" xfId="0" applyFont="1" applyAlignment="1" applyProtection="1">
      <alignment horizontal="right" vertical="center" wrapText="1" indent="1"/>
      <protection hidden="1"/>
    </xf>
    <xf numFmtId="0" fontId="2" fillId="0" borderId="0" xfId="0" applyFont="1" applyBorder="1" applyAlignment="1">
      <alignment horizontal="right" vertical="center" wrapText="1"/>
    </xf>
    <xf numFmtId="0" fontId="4" fillId="0" borderId="4" xfId="0" applyFont="1" applyBorder="1" applyAlignment="1">
      <alignment horizontal="right" vertical="center" wrapText="1" indent="1"/>
    </xf>
    <xf numFmtId="0" fontId="4" fillId="0" borderId="6" xfId="0" applyFont="1" applyBorder="1" applyAlignment="1">
      <alignment horizontal="left" vertical="center" wrapText="1" indent="1"/>
    </xf>
    <xf numFmtId="0" fontId="2" fillId="0" borderId="4" xfId="0" applyFont="1" applyBorder="1" applyAlignment="1">
      <alignment horizontal="right" vertical="center" wrapText="1" indent="1"/>
    </xf>
    <xf numFmtId="0" fontId="2" fillId="0" borderId="6" xfId="0" applyFont="1" applyBorder="1" applyAlignment="1">
      <alignment horizontal="right" vertical="center" wrapText="1" indent="1"/>
    </xf>
    <xf numFmtId="0" fontId="2" fillId="0" borderId="8" xfId="0" applyFont="1" applyBorder="1" applyAlignment="1">
      <alignment horizontal="right" vertical="center" wrapText="1" indent="1"/>
    </xf>
    <xf numFmtId="0" fontId="2" fillId="0" borderId="2" xfId="0" applyFont="1" applyBorder="1" applyAlignment="1">
      <alignment horizontal="right" vertical="center" wrapText="1" indent="1"/>
    </xf>
    <xf numFmtId="0" fontId="0" fillId="0" borderId="5" xfId="0" applyBorder="1"/>
    <xf numFmtId="0" fontId="0" fillId="0" borderId="3" xfId="0" applyBorder="1"/>
    <xf numFmtId="0" fontId="2" fillId="0" borderId="0" xfId="0" applyFont="1" applyBorder="1" applyAlignment="1">
      <alignment horizontal="right" vertical="center" wrapText="1" indent="1"/>
    </xf>
    <xf numFmtId="0" fontId="0" fillId="0" borderId="4" xfId="0" applyBorder="1"/>
    <xf numFmtId="0" fontId="16" fillId="0" borderId="4" xfId="0" applyFont="1" applyBorder="1"/>
    <xf numFmtId="0" fontId="0" fillId="0" borderId="1" xfId="0" applyBorder="1"/>
    <xf numFmtId="0" fontId="18" fillId="0" borderId="13" xfId="0" applyFont="1" applyBorder="1" applyAlignment="1">
      <alignment horizontal="left" vertical="center" wrapText="1"/>
    </xf>
    <xf numFmtId="0" fontId="2" fillId="0" borderId="7" xfId="0" applyFont="1" applyBorder="1" applyAlignment="1">
      <alignment horizontal="right" vertical="center" wrapText="1" indent="1"/>
    </xf>
    <xf numFmtId="0" fontId="16" fillId="0" borderId="1" xfId="0" applyFont="1" applyBorder="1" applyAlignment="1">
      <alignment horizontal="right"/>
    </xf>
    <xf numFmtId="0" fontId="4" fillId="0" borderId="14" xfId="0" applyFont="1" applyBorder="1" applyAlignment="1">
      <alignment horizontal="right" vertical="center" wrapText="1" indent="1"/>
    </xf>
    <xf numFmtId="0" fontId="2" fillId="0" borderId="11" xfId="0" applyFont="1" applyBorder="1" applyAlignment="1">
      <alignment horizontal="right" vertical="center" wrapText="1" indent="1"/>
    </xf>
    <xf numFmtId="0" fontId="16" fillId="0" borderId="6" xfId="0" applyFont="1" applyBorder="1"/>
    <xf numFmtId="0" fontId="0" fillId="0" borderId="6" xfId="0" applyBorder="1"/>
    <xf numFmtId="0" fontId="2" fillId="0" borderId="5" xfId="0" applyFont="1" applyBorder="1" applyAlignment="1">
      <alignment horizontal="right" vertical="center" wrapText="1" indent="1"/>
    </xf>
    <xf numFmtId="0" fontId="0" fillId="0" borderId="0" xfId="0" applyAlignment="1">
      <alignment horizontal="center"/>
    </xf>
    <xf numFmtId="0" fontId="1" fillId="3" borderId="19" xfId="0" applyFont="1" applyFill="1" applyBorder="1"/>
    <xf numFmtId="0" fontId="1" fillId="3" borderId="16" xfId="0" applyFont="1" applyFill="1" applyBorder="1"/>
    <xf numFmtId="0" fontId="1" fillId="3" borderId="15" xfId="0" applyFont="1" applyFill="1" applyBorder="1"/>
    <xf numFmtId="0" fontId="0" fillId="0" borderId="13" xfId="0" applyBorder="1"/>
    <xf numFmtId="0" fontId="27" fillId="0" borderId="13" xfId="0" applyFont="1" applyBorder="1" applyAlignment="1">
      <alignment vertical="center" wrapText="1"/>
    </xf>
    <xf numFmtId="0" fontId="28" fillId="0" borderId="13" xfId="0" applyFont="1" applyBorder="1" applyAlignment="1">
      <alignment vertical="center" wrapText="1"/>
    </xf>
    <xf numFmtId="0" fontId="0" fillId="0" borderId="22" xfId="0" applyBorder="1"/>
    <xf numFmtId="0" fontId="25" fillId="0" borderId="22" xfId="0" applyFont="1" applyBorder="1" applyAlignment="1">
      <alignment vertical="center" wrapText="1"/>
    </xf>
    <xf numFmtId="0" fontId="27" fillId="0" borderId="22" xfId="0" applyFont="1" applyBorder="1" applyAlignment="1">
      <alignment vertical="center" wrapText="1"/>
    </xf>
    <xf numFmtId="0" fontId="24" fillId="0" borderId="21" xfId="0" applyFont="1" applyBorder="1" applyAlignment="1">
      <alignment vertical="center" wrapText="1"/>
    </xf>
    <xf numFmtId="0" fontId="24" fillId="0" borderId="17" xfId="0" applyFont="1" applyBorder="1" applyAlignment="1">
      <alignment vertical="center" wrapText="1"/>
    </xf>
    <xf numFmtId="0" fontId="26" fillId="0" borderId="17" xfId="0" applyFont="1" applyBorder="1" applyAlignment="1">
      <alignment vertical="center" wrapText="1"/>
    </xf>
    <xf numFmtId="0" fontId="26" fillId="0" borderId="18" xfId="0" applyFont="1" applyBorder="1" applyAlignment="1">
      <alignment vertical="center" wrapText="1"/>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9" fillId="3" borderId="16" xfId="0" applyFont="1" applyFill="1" applyBorder="1" applyAlignment="1">
      <alignment horizontal="center"/>
    </xf>
    <xf numFmtId="0" fontId="26" fillId="0" borderId="21" xfId="0" applyFont="1" applyBorder="1" applyAlignment="1">
      <alignment vertical="center" wrapText="1"/>
    </xf>
    <xf numFmtId="0" fontId="25" fillId="0" borderId="17" xfId="0" applyFont="1" applyBorder="1" applyAlignment="1">
      <alignment horizontal="center" vertical="center" wrapText="1"/>
    </xf>
    <xf numFmtId="0" fontId="26" fillId="0" borderId="18" xfId="0" applyFont="1" applyBorder="1" applyAlignment="1">
      <alignment horizontal="center" vertical="center" wrapText="1"/>
    </xf>
    <xf numFmtId="0" fontId="24" fillId="0" borderId="18" xfId="0" applyFont="1" applyBorder="1" applyAlignment="1">
      <alignment horizontal="center" vertical="center" wrapText="1"/>
    </xf>
    <xf numFmtId="0" fontId="24" fillId="0" borderId="15" xfId="0" applyFont="1" applyBorder="1" applyAlignment="1">
      <alignment horizontal="center" vertical="center" wrapText="1"/>
    </xf>
    <xf numFmtId="0" fontId="26" fillId="0" borderId="15" xfId="0" applyFont="1" applyBorder="1" applyAlignment="1">
      <alignment horizontal="center" vertical="center" wrapText="1"/>
    </xf>
    <xf numFmtId="0" fontId="26" fillId="0" borderId="16" xfId="0" applyFont="1" applyBorder="1" applyAlignment="1">
      <alignment horizontal="center" vertical="center" wrapText="1"/>
    </xf>
    <xf numFmtId="0" fontId="24" fillId="0" borderId="17" xfId="0" applyFont="1" applyBorder="1" applyAlignment="1">
      <alignment horizontal="left" vertical="center" wrapText="1"/>
    </xf>
    <xf numFmtId="0" fontId="24" fillId="0" borderId="23" xfId="0" applyFont="1" applyBorder="1" applyAlignment="1">
      <alignment horizontal="left" vertical="center" wrapText="1"/>
    </xf>
    <xf numFmtId="0" fontId="24" fillId="0" borderId="15" xfId="0" applyFont="1" applyBorder="1" applyAlignment="1">
      <alignment horizontal="left" vertical="center" wrapText="1"/>
    </xf>
    <xf numFmtId="0" fontId="0" fillId="0" borderId="0" xfId="0" applyAlignment="1">
      <alignment horizontal="center"/>
    </xf>
    <xf numFmtId="0" fontId="4" fillId="0" borderId="5" xfId="0" applyFont="1" applyBorder="1" applyAlignment="1" applyProtection="1">
      <alignment horizontal="left" vertical="center"/>
      <protection hidden="1"/>
    </xf>
    <xf numFmtId="0" fontId="32" fillId="0" borderId="0" xfId="0" applyFont="1" applyAlignment="1">
      <alignment vertical="center"/>
    </xf>
    <xf numFmtId="0" fontId="33" fillId="0" borderId="0" xfId="0" applyFont="1"/>
    <xf numFmtId="0" fontId="0" fillId="3" borderId="13" xfId="0" applyFill="1" applyBorder="1"/>
    <xf numFmtId="0" fontId="0" fillId="3" borderId="13" xfId="0" applyFill="1" applyBorder="1" applyAlignment="1">
      <alignment horizontal="right"/>
    </xf>
    <xf numFmtId="0" fontId="0" fillId="3" borderId="13" xfId="0" applyFill="1" applyBorder="1" applyAlignment="1">
      <alignment horizontal="center"/>
    </xf>
    <xf numFmtId="0" fontId="0" fillId="0" borderId="13" xfId="0" applyBorder="1" applyAlignment="1">
      <alignment horizontal="center"/>
    </xf>
    <xf numFmtId="0" fontId="31" fillId="0" borderId="24" xfId="0" applyFont="1" applyBorder="1" applyAlignment="1">
      <alignment vertical="center"/>
    </xf>
    <xf numFmtId="10" fontId="34" fillId="0" borderId="24" xfId="3" applyNumberFormat="1" applyFont="1" applyBorder="1"/>
    <xf numFmtId="43" fontId="35" fillId="0" borderId="24" xfId="2" applyFont="1" applyBorder="1"/>
    <xf numFmtId="0" fontId="0" fillId="0" borderId="0" xfId="0" applyBorder="1"/>
    <xf numFmtId="0" fontId="18" fillId="0" borderId="11" xfId="0" applyFont="1" applyBorder="1" applyAlignment="1" applyProtection="1">
      <alignment horizontal="left" vertical="center" wrapText="1"/>
      <protection hidden="1"/>
    </xf>
    <xf numFmtId="0" fontId="4" fillId="0" borderId="8" xfId="0" applyFont="1" applyBorder="1" applyAlignment="1" applyProtection="1">
      <alignment horizontal="left" vertical="center"/>
      <protection hidden="1"/>
    </xf>
    <xf numFmtId="0" fontId="23" fillId="0" borderId="1" xfId="0" applyFont="1" applyBorder="1" applyProtection="1">
      <protection locked="0"/>
    </xf>
    <xf numFmtId="0" fontId="23" fillId="0" borderId="4" xfId="0" applyFont="1" applyBorder="1" applyProtection="1">
      <protection locked="0"/>
    </xf>
    <xf numFmtId="0" fontId="20" fillId="2" borderId="6" xfId="0" applyFont="1" applyFill="1" applyBorder="1" applyAlignment="1" applyProtection="1">
      <alignment vertical="center" wrapText="1"/>
      <protection locked="0"/>
    </xf>
    <xf numFmtId="0" fontId="21" fillId="2" borderId="7" xfId="0" applyFont="1" applyFill="1" applyBorder="1" applyAlignment="1" applyProtection="1">
      <alignment vertical="center" wrapText="1"/>
      <protection locked="0"/>
    </xf>
    <xf numFmtId="0" fontId="22" fillId="2" borderId="8" xfId="0" applyFont="1" applyFill="1" applyBorder="1" applyAlignment="1" applyProtection="1">
      <alignment vertical="center" wrapText="1"/>
      <protection locked="0"/>
    </xf>
    <xf numFmtId="0" fontId="37" fillId="0" borderId="0" xfId="4" applyFont="1"/>
    <xf numFmtId="0" fontId="38" fillId="0" borderId="0" xfId="4" applyFont="1"/>
    <xf numFmtId="0" fontId="36" fillId="0" borderId="0" xfId="4"/>
    <xf numFmtId="0" fontId="38" fillId="3" borderId="0" xfId="4" applyFont="1" applyFill="1"/>
    <xf numFmtId="0" fontId="36" fillId="3" borderId="0" xfId="4" applyFill="1"/>
    <xf numFmtId="0" fontId="0" fillId="0" borderId="0" xfId="0" applyFill="1"/>
    <xf numFmtId="0" fontId="0" fillId="6" borderId="13" xfId="0" applyFill="1" applyBorder="1" applyAlignment="1">
      <alignment horizontal="center"/>
    </xf>
    <xf numFmtId="0" fontId="0" fillId="0" borderId="13" xfId="0" applyFill="1" applyBorder="1" applyAlignment="1">
      <alignment horizontal="center"/>
    </xf>
    <xf numFmtId="0" fontId="38" fillId="0" borderId="0" xfId="4" applyFont="1" applyFill="1" applyAlignment="1">
      <alignment horizontal="center" wrapText="1"/>
    </xf>
    <xf numFmtId="0" fontId="1" fillId="3" borderId="26" xfId="0" applyFont="1" applyFill="1" applyBorder="1"/>
    <xf numFmtId="0" fontId="39" fillId="3" borderId="7" xfId="4" applyFont="1" applyFill="1" applyBorder="1" applyAlignment="1">
      <alignment horizontal="center"/>
    </xf>
    <xf numFmtId="0" fontId="1" fillId="0" borderId="1" xfId="0" applyFont="1" applyBorder="1" applyAlignment="1" applyProtection="1">
      <alignment horizontal="left" vertical="center"/>
      <protection hidden="1"/>
    </xf>
    <xf numFmtId="0" fontId="1" fillId="0" borderId="4" xfId="0" applyFont="1" applyBorder="1" applyAlignment="1" applyProtection="1">
      <alignment horizontal="left" vertical="center"/>
      <protection hidden="1"/>
    </xf>
    <xf numFmtId="0" fontId="19" fillId="0" borderId="4" xfId="0" applyFont="1" applyBorder="1" applyAlignment="1" applyProtection="1">
      <alignment horizontal="left" vertical="center"/>
      <protection hidden="1"/>
    </xf>
    <xf numFmtId="0" fontId="16" fillId="0" borderId="4" xfId="0" applyFont="1" applyBorder="1" applyAlignment="1" applyProtection="1">
      <alignment horizontal="left" vertical="center" indent="1"/>
      <protection hidden="1"/>
    </xf>
    <xf numFmtId="0" fontId="16" fillId="0" borderId="6" xfId="0" applyFont="1" applyBorder="1" applyAlignment="1" applyProtection="1">
      <alignment horizontal="left" vertical="center"/>
      <protection hidden="1"/>
    </xf>
    <xf numFmtId="0" fontId="40" fillId="0" borderId="27" xfId="0" applyFont="1" applyFill="1" applyBorder="1" applyAlignment="1">
      <alignment horizontal="center" vertical="center" wrapText="1"/>
    </xf>
    <xf numFmtId="0" fontId="40" fillId="0" borderId="28" xfId="0" applyFont="1" applyFill="1" applyBorder="1" applyAlignment="1">
      <alignment horizontal="center" vertical="center" wrapText="1"/>
    </xf>
    <xf numFmtId="0" fontId="1" fillId="3" borderId="21" xfId="0" applyFont="1" applyFill="1" applyBorder="1" applyAlignment="1">
      <alignment horizontal="center"/>
    </xf>
    <xf numFmtId="0" fontId="23" fillId="4" borderId="0" xfId="0" applyFont="1" applyFill="1" applyProtection="1">
      <protection locked="0"/>
    </xf>
    <xf numFmtId="0" fontId="23" fillId="4" borderId="3" xfId="0" applyFont="1" applyFill="1" applyBorder="1" applyProtection="1">
      <protection locked="0"/>
    </xf>
    <xf numFmtId="0" fontId="23" fillId="4" borderId="5" xfId="0" applyFont="1" applyFill="1" applyBorder="1" applyProtection="1">
      <protection locked="0"/>
    </xf>
    <xf numFmtId="0" fontId="6" fillId="7" borderId="0" xfId="0" applyFont="1" applyFill="1" applyBorder="1" applyAlignment="1">
      <alignment horizontal="center" vertical="center" wrapText="1"/>
    </xf>
    <xf numFmtId="0" fontId="6" fillId="4" borderId="0"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0" fillId="0" borderId="0" xfId="0" applyFill="1" applyAlignment="1">
      <alignment horizontal="center"/>
    </xf>
    <xf numFmtId="0" fontId="36" fillId="5" borderId="13" xfId="4" applyNumberFormat="1" applyFill="1" applyBorder="1" applyAlignment="1">
      <alignment horizontal="center"/>
    </xf>
    <xf numFmtId="0" fontId="0" fillId="0" borderId="13" xfId="0" applyNumberFormat="1" applyBorder="1" applyAlignment="1">
      <alignment horizontal="center"/>
    </xf>
    <xf numFmtId="0" fontId="0" fillId="6" borderId="13" xfId="0" applyNumberFormat="1" applyFill="1" applyBorder="1" applyAlignment="1">
      <alignment horizontal="center"/>
    </xf>
    <xf numFmtId="0" fontId="0" fillId="0" borderId="13" xfId="0" applyNumberFormat="1" applyFill="1" applyBorder="1" applyAlignment="1">
      <alignment horizontal="center"/>
    </xf>
    <xf numFmtId="0" fontId="36" fillId="0" borderId="0" xfId="4" applyFill="1"/>
    <xf numFmtId="0" fontId="38" fillId="0" borderId="0" xfId="4" applyFont="1" applyBorder="1"/>
    <xf numFmtId="0" fontId="38" fillId="0" borderId="31" xfId="4" applyFont="1" applyBorder="1"/>
    <xf numFmtId="0" fontId="39" fillId="3" borderId="24" xfId="4" applyFont="1" applyFill="1" applyBorder="1" applyAlignment="1">
      <alignment horizontal="center"/>
    </xf>
    <xf numFmtId="0" fontId="39" fillId="3" borderId="18" xfId="4" applyFont="1" applyFill="1" applyBorder="1" applyAlignment="1">
      <alignment horizontal="center"/>
    </xf>
    <xf numFmtId="0" fontId="1" fillId="3" borderId="32" xfId="0" applyFont="1" applyFill="1" applyBorder="1"/>
    <xf numFmtId="0" fontId="1" fillId="7" borderId="29" xfId="0" applyFont="1" applyFill="1" applyBorder="1"/>
    <xf numFmtId="0" fontId="0" fillId="7" borderId="30" xfId="0" applyFill="1" applyBorder="1" applyAlignment="1">
      <alignment horizontal="center"/>
    </xf>
    <xf numFmtId="0" fontId="0" fillId="0" borderId="33" xfId="0" applyBorder="1" applyAlignment="1">
      <alignment horizontal="center"/>
    </xf>
    <xf numFmtId="0" fontId="36" fillId="5" borderId="34" xfId="4" applyNumberFormat="1" applyFill="1" applyBorder="1" applyAlignment="1">
      <alignment horizontal="center"/>
    </xf>
    <xf numFmtId="0" fontId="0" fillId="0" borderId="34" xfId="0" applyNumberFormat="1" applyBorder="1" applyAlignment="1">
      <alignment horizontal="center"/>
    </xf>
    <xf numFmtId="0" fontId="0" fillId="6" borderId="34" xfId="0" applyNumberFormat="1" applyFill="1" applyBorder="1" applyAlignment="1">
      <alignment horizontal="center"/>
    </xf>
    <xf numFmtId="0" fontId="0" fillId="0" borderId="34" xfId="0" applyNumberFormat="1" applyFill="1" applyBorder="1" applyAlignment="1">
      <alignment horizontal="center"/>
    </xf>
    <xf numFmtId="0" fontId="39" fillId="3" borderId="36" xfId="4" applyFont="1" applyFill="1" applyBorder="1" applyAlignment="1">
      <alignment horizontal="center"/>
    </xf>
    <xf numFmtId="0" fontId="1" fillId="7" borderId="25" xfId="0" applyFont="1" applyFill="1" applyBorder="1"/>
    <xf numFmtId="0" fontId="0" fillId="7" borderId="31" xfId="0" applyFill="1" applyBorder="1" applyAlignment="1">
      <alignment horizontal="center"/>
    </xf>
    <xf numFmtId="0" fontId="1" fillId="7" borderId="37" xfId="0" applyFont="1" applyFill="1" applyBorder="1"/>
    <xf numFmtId="0" fontId="0" fillId="7" borderId="37" xfId="0" applyFill="1" applyBorder="1"/>
    <xf numFmtId="0" fontId="0" fillId="7" borderId="0" xfId="0" applyFill="1" applyBorder="1"/>
    <xf numFmtId="0" fontId="0" fillId="0" borderId="37" xfId="0" applyBorder="1" applyAlignment="1">
      <alignment horizontal="center"/>
    </xf>
    <xf numFmtId="0" fontId="36" fillId="5" borderId="39" xfId="4" applyNumberFormat="1" applyFill="1" applyBorder="1" applyAlignment="1">
      <alignment horizontal="center"/>
    </xf>
    <xf numFmtId="0" fontId="0" fillId="0" borderId="39" xfId="0" applyNumberFormat="1" applyBorder="1" applyAlignment="1">
      <alignment horizontal="center"/>
    </xf>
    <xf numFmtId="0" fontId="0" fillId="6" borderId="39" xfId="0" applyNumberFormat="1" applyFill="1" applyBorder="1" applyAlignment="1">
      <alignment horizontal="center"/>
    </xf>
    <xf numFmtId="0" fontId="0" fillId="0" borderId="39" xfId="0" applyNumberFormat="1" applyFill="1" applyBorder="1" applyAlignment="1">
      <alignment horizontal="center"/>
    </xf>
    <xf numFmtId="0" fontId="0" fillId="0" borderId="0" xfId="0" applyBorder="1" applyAlignment="1">
      <alignment horizontal="center"/>
    </xf>
    <xf numFmtId="0" fontId="0" fillId="0" borderId="24" xfId="0" applyBorder="1" applyAlignment="1">
      <alignment horizontal="center"/>
    </xf>
    <xf numFmtId="0" fontId="1" fillId="5" borderId="38" xfId="0" applyFont="1" applyFill="1" applyBorder="1" applyAlignment="1">
      <alignment horizontal="center"/>
    </xf>
    <xf numFmtId="0" fontId="1" fillId="0" borderId="38" xfId="0" applyFont="1" applyBorder="1" applyAlignment="1">
      <alignment horizontal="center"/>
    </xf>
    <xf numFmtId="0" fontId="0" fillId="0" borderId="22" xfId="0" applyBorder="1" applyAlignment="1">
      <alignment horizontal="center"/>
    </xf>
    <xf numFmtId="0" fontId="0" fillId="0" borderId="43" xfId="0" applyBorder="1" applyAlignment="1">
      <alignment horizontal="center"/>
    </xf>
    <xf numFmtId="0" fontId="0" fillId="5" borderId="0" xfId="0" applyFill="1" applyAlignment="1">
      <alignment horizontal="center"/>
    </xf>
    <xf numFmtId="0" fontId="0" fillId="0" borderId="0" xfId="0" applyAlignment="1">
      <alignment horizontal="center"/>
    </xf>
    <xf numFmtId="0" fontId="38" fillId="0" borderId="0" xfId="4" applyFont="1" applyBorder="1" applyAlignment="1">
      <alignment horizontal="center"/>
    </xf>
    <xf numFmtId="0" fontId="38" fillId="0" borderId="31" xfId="4" applyFont="1" applyBorder="1" applyAlignment="1">
      <alignment horizontal="center"/>
    </xf>
    <xf numFmtId="0" fontId="1" fillId="6" borderId="38" xfId="0" applyFont="1" applyFill="1" applyBorder="1" applyAlignment="1">
      <alignment horizontal="center"/>
    </xf>
    <xf numFmtId="0" fontId="0" fillId="6" borderId="22" xfId="0" applyFill="1" applyBorder="1" applyAlignment="1">
      <alignment horizontal="center"/>
    </xf>
    <xf numFmtId="0" fontId="0" fillId="6" borderId="43" xfId="0" applyFill="1" applyBorder="1" applyAlignment="1">
      <alignment horizontal="center"/>
    </xf>
    <xf numFmtId="0" fontId="0" fillId="6" borderId="0" xfId="0" applyFill="1" applyAlignment="1">
      <alignment horizontal="center"/>
    </xf>
    <xf numFmtId="0" fontId="0" fillId="6" borderId="39" xfId="0" applyFill="1" applyBorder="1" applyAlignment="1">
      <alignment horizontal="center"/>
    </xf>
    <xf numFmtId="0" fontId="0" fillId="6" borderId="34" xfId="0" applyFill="1" applyBorder="1" applyAlignment="1">
      <alignment horizontal="center"/>
    </xf>
    <xf numFmtId="0" fontId="0" fillId="6" borderId="40" xfId="0" applyFill="1" applyBorder="1" applyAlignment="1">
      <alignment horizontal="center"/>
    </xf>
    <xf numFmtId="0" fontId="0" fillId="6" borderId="41" xfId="0" applyFill="1" applyBorder="1" applyAlignment="1">
      <alignment horizontal="center"/>
    </xf>
    <xf numFmtId="0" fontId="0" fillId="6" borderId="35" xfId="0" applyFill="1" applyBorder="1" applyAlignment="1">
      <alignment horizontal="center"/>
    </xf>
    <xf numFmtId="0" fontId="0" fillId="6" borderId="42" xfId="0" applyFill="1" applyBorder="1" applyAlignment="1">
      <alignment horizontal="center"/>
    </xf>
    <xf numFmtId="0" fontId="0" fillId="6" borderId="44" xfId="0" applyFill="1" applyBorder="1" applyAlignment="1">
      <alignment horizontal="center"/>
    </xf>
    <xf numFmtId="0" fontId="0" fillId="5" borderId="13" xfId="0" applyFill="1" applyBorder="1" applyAlignment="1">
      <alignment horizontal="center"/>
    </xf>
    <xf numFmtId="0" fontId="1" fillId="0" borderId="38" xfId="0" applyFont="1" applyFill="1" applyBorder="1" applyAlignment="1">
      <alignment horizontal="center"/>
    </xf>
    <xf numFmtId="0" fontId="0" fillId="0" borderId="22" xfId="0" applyFill="1" applyBorder="1" applyAlignment="1">
      <alignment horizontal="center"/>
    </xf>
    <xf numFmtId="0" fontId="0" fillId="0" borderId="43" xfId="0" applyFill="1" applyBorder="1" applyAlignment="1">
      <alignment horizontal="center"/>
    </xf>
    <xf numFmtId="0" fontId="0" fillId="5" borderId="39" xfId="0" applyFill="1" applyBorder="1" applyAlignment="1">
      <alignment horizontal="center"/>
    </xf>
    <xf numFmtId="0" fontId="0" fillId="0" borderId="39" xfId="0" applyBorder="1" applyAlignment="1">
      <alignment horizontal="center"/>
    </xf>
    <xf numFmtId="0" fontId="0" fillId="5" borderId="34" xfId="0" applyFill="1" applyBorder="1" applyAlignment="1">
      <alignment horizontal="center"/>
    </xf>
    <xf numFmtId="0" fontId="0" fillId="0" borderId="34" xfId="0" applyBorder="1" applyAlignment="1">
      <alignment horizontal="center"/>
    </xf>
    <xf numFmtId="0" fontId="0" fillId="5" borderId="22" xfId="0" applyFill="1" applyBorder="1" applyAlignment="1">
      <alignment horizontal="center"/>
    </xf>
    <xf numFmtId="0" fontId="0" fillId="5" borderId="43" xfId="0" applyFill="1" applyBorder="1" applyAlignment="1">
      <alignment horizontal="center"/>
    </xf>
    <xf numFmtId="0" fontId="0" fillId="0" borderId="2" xfId="0" applyBorder="1"/>
    <xf numFmtId="0" fontId="41" fillId="8" borderId="28" xfId="0" applyFont="1" applyFill="1" applyBorder="1" applyAlignment="1">
      <alignment horizontal="center" vertical="center" wrapText="1"/>
    </xf>
    <xf numFmtId="2" fontId="4" fillId="0" borderId="9" xfId="0" applyNumberFormat="1" applyFont="1" applyFill="1" applyBorder="1" applyAlignment="1">
      <alignment wrapText="1"/>
    </xf>
    <xf numFmtId="2" fontId="4" fillId="0" borderId="10" xfId="0" applyNumberFormat="1" applyFont="1" applyFill="1" applyBorder="1" applyAlignment="1">
      <alignment wrapText="1"/>
    </xf>
    <xf numFmtId="0" fontId="9" fillId="0" borderId="0" xfId="0" applyFont="1" applyAlignment="1">
      <alignment horizontal="left" vertical="center" wrapText="1" indent="3"/>
    </xf>
    <xf numFmtId="0" fontId="10" fillId="0" borderId="0" xfId="0" applyFont="1" applyAlignment="1">
      <alignment horizontal="left" vertical="center" wrapText="1" indent="3"/>
    </xf>
    <xf numFmtId="0" fontId="8" fillId="0" borderId="0" xfId="0" applyFont="1" applyAlignment="1">
      <alignment horizontal="justify" vertical="center" wrapText="1"/>
    </xf>
    <xf numFmtId="0" fontId="0" fillId="0" borderId="0" xfId="0" applyAlignment="1">
      <alignment horizontal="justify" vertical="center" wrapText="1"/>
    </xf>
    <xf numFmtId="0" fontId="0" fillId="0" borderId="0" xfId="0" applyAlignment="1">
      <alignment horizontal="right"/>
    </xf>
    <xf numFmtId="0" fontId="0" fillId="0" borderId="0" xfId="0" applyAlignment="1">
      <alignment horizontal="right" wrapText="1"/>
    </xf>
    <xf numFmtId="0" fontId="3" fillId="0" borderId="0" xfId="1" applyAlignment="1">
      <alignment horizontal="right"/>
    </xf>
    <xf numFmtId="0" fontId="11" fillId="0" borderId="0" xfId="0" applyFont="1" applyAlignment="1">
      <alignment horizontal="center" vertical="center" wrapText="1"/>
    </xf>
    <xf numFmtId="0" fontId="12" fillId="0" borderId="0" xfId="0" applyFont="1" applyAlignment="1">
      <alignment horizontal="center" vertical="center"/>
    </xf>
    <xf numFmtId="0" fontId="2" fillId="0" borderId="0" xfId="0" applyFont="1" applyAlignment="1">
      <alignment horizontal="center" vertical="center" wrapText="1"/>
    </xf>
    <xf numFmtId="0" fontId="0" fillId="0" borderId="0" xfId="0" applyAlignment="1">
      <alignment horizontal="center"/>
    </xf>
    <xf numFmtId="0" fontId="4" fillId="0" borderId="0" xfId="0" applyFont="1" applyAlignment="1">
      <alignment horizontal="center" vertical="center" wrapText="1"/>
    </xf>
    <xf numFmtId="0" fontId="5" fillId="0" borderId="0" xfId="0" applyFont="1" applyAlignment="1">
      <alignment horizontal="center"/>
    </xf>
    <xf numFmtId="0" fontId="6" fillId="0" borderId="0" xfId="0" applyFont="1" applyAlignment="1">
      <alignment horizontal="center" vertical="center" wrapText="1"/>
    </xf>
    <xf numFmtId="0" fontId="7" fillId="0" borderId="0" xfId="0" applyFont="1" applyAlignment="1">
      <alignment horizontal="center"/>
    </xf>
    <xf numFmtId="0" fontId="6" fillId="0" borderId="1" xfId="0" applyFont="1" applyBorder="1" applyAlignment="1">
      <alignment horizontal="left" vertical="center" wrapText="1"/>
    </xf>
    <xf numFmtId="0" fontId="6" fillId="0" borderId="2" xfId="0" applyFont="1" applyBorder="1" applyAlignment="1">
      <alignment horizontal="left" vertical="center" wrapText="1"/>
    </xf>
    <xf numFmtId="0" fontId="6" fillId="0" borderId="1" xfId="0" applyFont="1" applyBorder="1" applyAlignment="1">
      <alignment horizontal="center" vertical="center" wrapText="1"/>
    </xf>
    <xf numFmtId="0" fontId="6" fillId="0" borderId="3" xfId="0" applyFont="1" applyBorder="1" applyAlignment="1">
      <alignment horizontal="center" vertical="center" wrapText="1"/>
    </xf>
    <xf numFmtId="0" fontId="4" fillId="0" borderId="1" xfId="0" applyFont="1" applyBorder="1" applyAlignment="1">
      <alignment horizontal="left" vertical="top" wrapText="1" indent="1"/>
    </xf>
    <xf numFmtId="0" fontId="5" fillId="0" borderId="3" xfId="0" applyFont="1" applyBorder="1" applyAlignment="1">
      <alignment horizontal="left" vertical="top" wrapText="1" indent="1"/>
    </xf>
    <xf numFmtId="0" fontId="4" fillId="0" borderId="6" xfId="0" applyFont="1" applyBorder="1" applyAlignment="1">
      <alignment horizontal="left" vertical="top" wrapText="1" indent="1"/>
    </xf>
    <xf numFmtId="0" fontId="5" fillId="0" borderId="8" xfId="0" applyFont="1" applyBorder="1" applyAlignment="1">
      <alignment horizontal="left" vertical="top" wrapText="1" indent="1"/>
    </xf>
    <xf numFmtId="0" fontId="1" fillId="0" borderId="1" xfId="0" applyFont="1" applyBorder="1" applyAlignment="1" applyProtection="1">
      <alignment horizontal="left" vertical="center" wrapText="1" indent="4"/>
      <protection hidden="1"/>
    </xf>
    <xf numFmtId="0" fontId="1" fillId="0" borderId="3" xfId="0" applyFont="1" applyBorder="1" applyAlignment="1" applyProtection="1">
      <alignment horizontal="left" indent="4"/>
      <protection hidden="1"/>
    </xf>
    <xf numFmtId="0" fontId="1" fillId="0" borderId="4" xfId="0" applyFont="1" applyBorder="1" applyAlignment="1" applyProtection="1">
      <alignment horizontal="left" indent="4"/>
      <protection hidden="1"/>
    </xf>
    <xf numFmtId="0" fontId="1" fillId="0" borderId="5" xfId="0" applyFont="1" applyBorder="1" applyAlignment="1" applyProtection="1">
      <alignment horizontal="left" indent="4"/>
      <protection hidden="1"/>
    </xf>
    <xf numFmtId="0" fontId="1" fillId="0" borderId="6" xfId="0" applyFont="1" applyBorder="1" applyAlignment="1" applyProtection="1">
      <alignment horizontal="left" indent="4"/>
      <protection hidden="1"/>
    </xf>
    <xf numFmtId="0" fontId="1" fillId="0" borderId="8" xfId="0" applyFont="1" applyBorder="1" applyAlignment="1" applyProtection="1">
      <alignment horizontal="left" indent="4"/>
      <protection hidden="1"/>
    </xf>
    <xf numFmtId="0" fontId="6" fillId="0" borderId="4" xfId="0" applyFont="1" applyBorder="1" applyAlignment="1">
      <alignment horizontal="center" vertical="center" wrapText="1"/>
    </xf>
    <xf numFmtId="0" fontId="6" fillId="0" borderId="0" xfId="0" applyFont="1" applyBorder="1" applyAlignment="1">
      <alignment horizontal="center" vertical="center" wrapText="1"/>
    </xf>
    <xf numFmtId="0" fontId="6" fillId="0" borderId="5" xfId="0" applyFont="1" applyBorder="1" applyAlignment="1">
      <alignment horizontal="center" vertical="center" wrapText="1"/>
    </xf>
    <xf numFmtId="0" fontId="42" fillId="7" borderId="3" xfId="0" applyFont="1" applyFill="1" applyBorder="1" applyAlignment="1">
      <alignment horizontal="center" vertical="center" textRotation="90" wrapText="1"/>
    </xf>
    <xf numFmtId="0" fontId="42" fillId="7" borderId="5" xfId="0" applyFont="1" applyFill="1" applyBorder="1" applyAlignment="1">
      <alignment horizontal="center" vertical="center" textRotation="90" wrapText="1"/>
    </xf>
    <xf numFmtId="0" fontId="0" fillId="0" borderId="6" xfId="0" applyFont="1" applyBorder="1" applyAlignment="1" applyProtection="1">
      <alignment horizontal="center"/>
      <protection hidden="1"/>
    </xf>
    <xf numFmtId="0" fontId="0" fillId="0" borderId="8" xfId="0" applyFont="1" applyBorder="1" applyAlignment="1" applyProtection="1">
      <alignment horizontal="center"/>
      <protection hidden="1"/>
    </xf>
    <xf numFmtId="0" fontId="1" fillId="7" borderId="13" xfId="0" applyFont="1" applyFill="1" applyBorder="1" applyAlignment="1">
      <alignment horizontal="center"/>
    </xf>
    <xf numFmtId="0" fontId="38" fillId="0" borderId="0" xfId="4" applyFont="1" applyBorder="1" applyAlignment="1">
      <alignment horizontal="center" wrapText="1"/>
    </xf>
    <xf numFmtId="0" fontId="38" fillId="0" borderId="24" xfId="4" applyFont="1" applyBorder="1" applyAlignment="1">
      <alignment horizontal="center" wrapText="1"/>
    </xf>
    <xf numFmtId="0" fontId="38" fillId="0" borderId="0" xfId="4" applyFont="1" applyAlignment="1">
      <alignment horizontal="center" wrapText="1"/>
    </xf>
    <xf numFmtId="0" fontId="38" fillId="0" borderId="0" xfId="4" applyFont="1" applyFill="1" applyAlignment="1">
      <alignment horizontal="center" wrapText="1"/>
    </xf>
    <xf numFmtId="0" fontId="30" fillId="3" borderId="19" xfId="0" applyFont="1" applyFill="1" applyBorder="1" applyAlignment="1">
      <alignment horizontal="center" vertical="center" wrapText="1"/>
    </xf>
    <xf numFmtId="0" fontId="30" fillId="3" borderId="20" xfId="0" applyFont="1" applyFill="1" applyBorder="1" applyAlignment="1">
      <alignment horizontal="center" vertical="center" wrapText="1"/>
    </xf>
    <xf numFmtId="0" fontId="30" fillId="3" borderId="16" xfId="0" applyFont="1" applyFill="1" applyBorder="1" applyAlignment="1">
      <alignment horizontal="center" vertical="center" wrapText="1"/>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9" fillId="3" borderId="16" xfId="0" applyFont="1" applyFill="1" applyBorder="1" applyAlignment="1">
      <alignment horizontal="center"/>
    </xf>
    <xf numFmtId="0" fontId="43" fillId="0" borderId="0" xfId="4" applyFont="1" applyBorder="1" applyAlignment="1">
      <alignment horizontal="center" wrapText="1"/>
    </xf>
  </cellXfs>
  <cellStyles count="5">
    <cellStyle name="Comma" xfId="2" builtinId="3"/>
    <cellStyle name="Hyperlink" xfId="1" builtinId="8"/>
    <cellStyle name="Normal" xfId="0" builtinId="0"/>
    <cellStyle name="Normal 2" xfId="4" xr:uid="{00000000-0005-0000-0000-000003000000}"/>
    <cellStyle name="Percent" xfId="3" builtinId="5"/>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382906</xdr:colOff>
      <xdr:row>3</xdr:row>
      <xdr:rowOff>7620</xdr:rowOff>
    </xdr:from>
    <xdr:to>
      <xdr:col>1</xdr:col>
      <xdr:colOff>419100</xdr:colOff>
      <xdr:row>6</xdr:row>
      <xdr:rowOff>12700</xdr:rowOff>
    </xdr:to>
    <xdr:pic>
      <xdr:nvPicPr>
        <xdr:cNvPr id="3" name="Picture 2" descr="face-it-logo">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2906" y="541020"/>
          <a:ext cx="1585594" cy="538480"/>
        </a:xfrm>
        <a:prstGeom prst="rect">
          <a:avLst/>
        </a:prstGeom>
        <a:noFill/>
        <a:ln>
          <a:noFill/>
        </a:ln>
      </xdr:spPr>
    </xdr:pic>
    <xdr:clientData/>
  </xdr:twoCellAnchor>
  <xdr:oneCellAnchor>
    <xdr:from>
      <xdr:col>1</xdr:col>
      <xdr:colOff>1525977</xdr:colOff>
      <xdr:row>28</xdr:row>
      <xdr:rowOff>63500</xdr:rowOff>
    </xdr:from>
    <xdr:ext cx="45719" cy="96909"/>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075377" y="5905500"/>
          <a:ext cx="45719" cy="969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CA" sz="800"/>
            <a:t>50%</a:t>
          </a:r>
        </a:p>
      </xdr:txBody>
    </xdr:sp>
    <xdr:clientData/>
  </xdr:oneCellAnchor>
  <xdr:oneCellAnchor>
    <xdr:from>
      <xdr:col>1</xdr:col>
      <xdr:colOff>1371600</xdr:colOff>
      <xdr:row>27</xdr:row>
      <xdr:rowOff>127000</xdr:rowOff>
    </xdr:from>
    <xdr:ext cx="428515" cy="264560"/>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921000" y="4597400"/>
          <a:ext cx="42851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50%</a:t>
          </a:r>
        </a:p>
      </xdr:txBody>
    </xdr:sp>
    <xdr:clientData/>
  </xdr:oneCellAnchor>
  <xdr:twoCellAnchor editAs="oneCell">
    <xdr:from>
      <xdr:col>0</xdr:col>
      <xdr:colOff>114300</xdr:colOff>
      <xdr:row>0</xdr:row>
      <xdr:rowOff>63500</xdr:rowOff>
    </xdr:from>
    <xdr:to>
      <xdr:col>1</xdr:col>
      <xdr:colOff>762000</xdr:colOff>
      <xdr:row>3</xdr:row>
      <xdr:rowOff>30218</xdr:rowOff>
    </xdr:to>
    <xdr:pic>
      <xdr:nvPicPr>
        <xdr:cNvPr id="6" name="Picture 5">
          <a:extLst>
            <a:ext uri="{FF2B5EF4-FFF2-40B4-BE49-F238E27FC236}">
              <a16:creationId xmlns:a16="http://schemas.microsoft.com/office/drawing/2014/main" id="{780EA6AD-BDAD-9841-8C1B-F27D13196BD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 y="63500"/>
          <a:ext cx="2197100" cy="5001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32</xdr:row>
      <xdr:rowOff>0</xdr:rowOff>
    </xdr:from>
    <xdr:to>
      <xdr:col>3</xdr:col>
      <xdr:colOff>304800</xdr:colOff>
      <xdr:row>33</xdr:row>
      <xdr:rowOff>83820</xdr:rowOff>
    </xdr:to>
    <xdr:sp macro="" textlink="">
      <xdr:nvSpPr>
        <xdr:cNvPr id="2050" name="AutoShape 2" descr="Image">
          <a:extLst>
            <a:ext uri="{FF2B5EF4-FFF2-40B4-BE49-F238E27FC236}">
              <a16:creationId xmlns:a16="http://schemas.microsoft.com/office/drawing/2014/main" id="{4E979390-1C4A-4D69-8D94-A3B85A6B4780}"/>
            </a:ext>
          </a:extLst>
        </xdr:cNvPr>
        <xdr:cNvSpPr>
          <a:spLocks noChangeAspect="1" noChangeArrowheads="1"/>
        </xdr:cNvSpPr>
      </xdr:nvSpPr>
      <xdr:spPr bwMode="auto">
        <a:xfrm>
          <a:off x="4389120" y="633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45720</xdr:colOff>
      <xdr:row>32</xdr:row>
      <xdr:rowOff>213360</xdr:rowOff>
    </xdr:from>
    <xdr:to>
      <xdr:col>3</xdr:col>
      <xdr:colOff>350520</xdr:colOff>
      <xdr:row>34</xdr:row>
      <xdr:rowOff>76199</xdr:rowOff>
    </xdr:to>
    <xdr:sp macro="" textlink="">
      <xdr:nvSpPr>
        <xdr:cNvPr id="2051" name="AutoShape 3" descr="Image">
          <a:extLst>
            <a:ext uri="{FF2B5EF4-FFF2-40B4-BE49-F238E27FC236}">
              <a16:creationId xmlns:a16="http://schemas.microsoft.com/office/drawing/2014/main" id="{DFE2F0F9-EF7A-4FF9-B6D6-12E545C704B1}"/>
            </a:ext>
          </a:extLst>
        </xdr:cNvPr>
        <xdr:cNvSpPr>
          <a:spLocks noChangeAspect="1" noChangeArrowheads="1"/>
        </xdr:cNvSpPr>
      </xdr:nvSpPr>
      <xdr:spPr bwMode="auto">
        <a:xfrm>
          <a:off x="4434840" y="656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31</xdr:row>
      <xdr:rowOff>0</xdr:rowOff>
    </xdr:from>
    <xdr:to>
      <xdr:col>3</xdr:col>
      <xdr:colOff>304800</xdr:colOff>
      <xdr:row>32</xdr:row>
      <xdr:rowOff>83821</xdr:rowOff>
    </xdr:to>
    <xdr:sp macro="" textlink="">
      <xdr:nvSpPr>
        <xdr:cNvPr id="2052" name="AutoShape 4" descr="Image">
          <a:extLst>
            <a:ext uri="{FF2B5EF4-FFF2-40B4-BE49-F238E27FC236}">
              <a16:creationId xmlns:a16="http://schemas.microsoft.com/office/drawing/2014/main" id="{F7092C4B-253D-4143-B38B-112487DB4D37}"/>
            </a:ext>
          </a:extLst>
        </xdr:cNvPr>
        <xdr:cNvSpPr>
          <a:spLocks noChangeAspect="1" noChangeArrowheads="1"/>
        </xdr:cNvSpPr>
      </xdr:nvSpPr>
      <xdr:spPr bwMode="auto">
        <a:xfrm>
          <a:off x="4389120" y="611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32</xdr:row>
      <xdr:rowOff>0</xdr:rowOff>
    </xdr:from>
    <xdr:to>
      <xdr:col>1</xdr:col>
      <xdr:colOff>304800</xdr:colOff>
      <xdr:row>33</xdr:row>
      <xdr:rowOff>83820</xdr:rowOff>
    </xdr:to>
    <xdr:sp macro="" textlink="">
      <xdr:nvSpPr>
        <xdr:cNvPr id="2053" name="AutoShape 5" descr="Image">
          <a:extLst>
            <a:ext uri="{FF2B5EF4-FFF2-40B4-BE49-F238E27FC236}">
              <a16:creationId xmlns:a16="http://schemas.microsoft.com/office/drawing/2014/main" id="{3ADDBAD2-9034-4499-BB5D-507B793A357F}"/>
            </a:ext>
          </a:extLst>
        </xdr:cNvPr>
        <xdr:cNvSpPr>
          <a:spLocks noChangeAspect="1" noChangeArrowheads="1"/>
        </xdr:cNvSpPr>
      </xdr:nvSpPr>
      <xdr:spPr bwMode="auto">
        <a:xfrm>
          <a:off x="1402080" y="633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32</xdr:row>
      <xdr:rowOff>0</xdr:rowOff>
    </xdr:from>
    <xdr:to>
      <xdr:col>1</xdr:col>
      <xdr:colOff>304800</xdr:colOff>
      <xdr:row>33</xdr:row>
      <xdr:rowOff>83820</xdr:rowOff>
    </xdr:to>
    <xdr:sp macro="" textlink="">
      <xdr:nvSpPr>
        <xdr:cNvPr id="2054" name="AutoShape 6" descr="Image">
          <a:extLst>
            <a:ext uri="{FF2B5EF4-FFF2-40B4-BE49-F238E27FC236}">
              <a16:creationId xmlns:a16="http://schemas.microsoft.com/office/drawing/2014/main" id="{197DE23E-F989-46F7-BC60-F7AD5AA10F3C}"/>
            </a:ext>
          </a:extLst>
        </xdr:cNvPr>
        <xdr:cNvSpPr>
          <a:spLocks noChangeAspect="1" noChangeArrowheads="1"/>
        </xdr:cNvSpPr>
      </xdr:nvSpPr>
      <xdr:spPr bwMode="auto">
        <a:xfrm>
          <a:off x="1402080" y="633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228600</xdr:colOff>
      <xdr:row>31</xdr:row>
      <xdr:rowOff>99060</xdr:rowOff>
    </xdr:from>
    <xdr:to>
      <xdr:col>1</xdr:col>
      <xdr:colOff>533400</xdr:colOff>
      <xdr:row>32</xdr:row>
      <xdr:rowOff>182881</xdr:rowOff>
    </xdr:to>
    <xdr:sp macro="" textlink="">
      <xdr:nvSpPr>
        <xdr:cNvPr id="2" name="AutoShape 2" descr="Image">
          <a:extLst>
            <a:ext uri="{FF2B5EF4-FFF2-40B4-BE49-F238E27FC236}">
              <a16:creationId xmlns:a16="http://schemas.microsoft.com/office/drawing/2014/main" id="{D47BD0D0-84FC-4C78-A3EC-ED7F4B7D3990}"/>
            </a:ext>
          </a:extLst>
        </xdr:cNvPr>
        <xdr:cNvSpPr>
          <a:spLocks noChangeAspect="1" noChangeArrowheads="1"/>
        </xdr:cNvSpPr>
      </xdr:nvSpPr>
      <xdr:spPr bwMode="auto">
        <a:xfrm>
          <a:off x="1630680" y="6385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31</xdr:row>
      <xdr:rowOff>0</xdr:rowOff>
    </xdr:from>
    <xdr:to>
      <xdr:col>1</xdr:col>
      <xdr:colOff>304800</xdr:colOff>
      <xdr:row>32</xdr:row>
      <xdr:rowOff>83821</xdr:rowOff>
    </xdr:to>
    <xdr:sp macro="" textlink="">
      <xdr:nvSpPr>
        <xdr:cNvPr id="3" name="AutoShape 3" descr="Image">
          <a:extLst>
            <a:ext uri="{FF2B5EF4-FFF2-40B4-BE49-F238E27FC236}">
              <a16:creationId xmlns:a16="http://schemas.microsoft.com/office/drawing/2014/main" id="{1B6BAEF9-526D-4BF2-B630-5BA5C3A4DEE2}"/>
            </a:ext>
          </a:extLst>
        </xdr:cNvPr>
        <xdr:cNvSpPr>
          <a:spLocks noChangeAspect="1" noChangeArrowheads="1"/>
        </xdr:cNvSpPr>
      </xdr:nvSpPr>
      <xdr:spPr bwMode="auto">
        <a:xfrm>
          <a:off x="1402080" y="612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31</xdr:row>
      <xdr:rowOff>0</xdr:rowOff>
    </xdr:from>
    <xdr:to>
      <xdr:col>3</xdr:col>
      <xdr:colOff>304800</xdr:colOff>
      <xdr:row>32</xdr:row>
      <xdr:rowOff>83821</xdr:rowOff>
    </xdr:to>
    <xdr:sp macro="" textlink="">
      <xdr:nvSpPr>
        <xdr:cNvPr id="4" name="AutoShape 4" descr="Image">
          <a:extLst>
            <a:ext uri="{FF2B5EF4-FFF2-40B4-BE49-F238E27FC236}">
              <a16:creationId xmlns:a16="http://schemas.microsoft.com/office/drawing/2014/main" id="{BAD4F49E-F88B-479E-8FA2-D8496165450A}"/>
            </a:ext>
          </a:extLst>
        </xdr:cNvPr>
        <xdr:cNvSpPr>
          <a:spLocks noChangeAspect="1" noChangeArrowheads="1"/>
        </xdr:cNvSpPr>
      </xdr:nvSpPr>
      <xdr:spPr bwMode="auto">
        <a:xfrm>
          <a:off x="4389120" y="612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32</xdr:row>
      <xdr:rowOff>0</xdr:rowOff>
    </xdr:from>
    <xdr:to>
      <xdr:col>3</xdr:col>
      <xdr:colOff>304800</xdr:colOff>
      <xdr:row>33</xdr:row>
      <xdr:rowOff>83820</xdr:rowOff>
    </xdr:to>
    <xdr:sp macro="" textlink="">
      <xdr:nvSpPr>
        <xdr:cNvPr id="6" name="AutoShape 2" descr="https://www.choicedna.com/site/wp-content/uploads/Sybaby25.png">
          <a:extLst>
            <a:ext uri="{FF2B5EF4-FFF2-40B4-BE49-F238E27FC236}">
              <a16:creationId xmlns:a16="http://schemas.microsoft.com/office/drawing/2014/main" id="{17B8468F-F61F-4BD7-9633-E66B81BC6962}"/>
            </a:ext>
          </a:extLst>
        </xdr:cNvPr>
        <xdr:cNvSpPr>
          <a:spLocks noChangeAspect="1" noChangeArrowheads="1"/>
        </xdr:cNvSpPr>
      </xdr:nvSpPr>
      <xdr:spPr bwMode="auto">
        <a:xfrm>
          <a:off x="4389120" y="634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34</xdr:row>
      <xdr:rowOff>0</xdr:rowOff>
    </xdr:from>
    <xdr:to>
      <xdr:col>3</xdr:col>
      <xdr:colOff>304800</xdr:colOff>
      <xdr:row>35</xdr:row>
      <xdr:rowOff>83821</xdr:rowOff>
    </xdr:to>
    <xdr:sp macro="" textlink="">
      <xdr:nvSpPr>
        <xdr:cNvPr id="7" name="AutoShape 3" descr="https://www.choicedna.com/site/wp-content/uploads/Sybaby25.png">
          <a:extLst>
            <a:ext uri="{FF2B5EF4-FFF2-40B4-BE49-F238E27FC236}">
              <a16:creationId xmlns:a16="http://schemas.microsoft.com/office/drawing/2014/main" id="{B3D98B28-8C2A-4BFA-AE57-43ACBB6275A3}"/>
            </a:ext>
          </a:extLst>
        </xdr:cNvPr>
        <xdr:cNvSpPr>
          <a:spLocks noChangeAspect="1" noChangeArrowheads="1"/>
        </xdr:cNvSpPr>
      </xdr:nvSpPr>
      <xdr:spPr bwMode="auto">
        <a:xfrm>
          <a:off x="4389120" y="678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facednatest.com/" TargetMode="External"/><Relationship Id="rId1" Type="http://schemas.openxmlformats.org/officeDocument/2006/relationships/hyperlink" Target="mailto:support@facednatest.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E47"/>
  <sheetViews>
    <sheetView workbookViewId="0">
      <selection activeCell="A9" sqref="A9:D9"/>
    </sheetView>
  </sheetViews>
  <sheetFormatPr baseColWidth="10" defaultColWidth="0" defaultRowHeight="18" zeroHeight="1"/>
  <cols>
    <col min="1" max="2" width="20.33203125" style="1" customWidth="1"/>
    <col min="3" max="3" width="20.33203125" customWidth="1"/>
    <col min="4" max="4" width="20.1640625" customWidth="1"/>
    <col min="5" max="5" width="3.6640625" style="1" customWidth="1"/>
    <col min="6" max="16384" width="8.6640625" style="1" hidden="1"/>
  </cols>
  <sheetData>
    <row r="1" spans="1:4" ht="14" customHeight="1">
      <c r="C1" s="202" t="s">
        <v>54</v>
      </c>
      <c r="D1" s="202"/>
    </row>
    <row r="2" spans="1:4" ht="14" customHeight="1">
      <c r="C2" s="203" t="s">
        <v>56</v>
      </c>
      <c r="D2" s="202"/>
    </row>
    <row r="3" spans="1:4" ht="14" customHeight="1">
      <c r="C3" s="202" t="s">
        <v>55</v>
      </c>
      <c r="D3" s="202"/>
    </row>
    <row r="4" spans="1:4" ht="14" customHeight="1">
      <c r="C4" s="202" t="s">
        <v>61</v>
      </c>
      <c r="D4" s="202"/>
    </row>
    <row r="5" spans="1:4" ht="14" customHeight="1">
      <c r="C5" s="204" t="s">
        <v>62</v>
      </c>
      <c r="D5" s="202"/>
    </row>
    <row r="6" spans="1:4" ht="14" customHeight="1">
      <c r="C6" s="204" t="s">
        <v>57</v>
      </c>
      <c r="D6" s="202"/>
    </row>
    <row r="7" spans="1:4" ht="14" customHeight="1"/>
    <row r="8" spans="1:4" ht="4.25" customHeight="1"/>
    <row r="9" spans="1:4" ht="11" customHeight="1">
      <c r="A9" s="209" t="s">
        <v>395</v>
      </c>
      <c r="B9" s="210"/>
      <c r="C9" s="210"/>
      <c r="D9" s="210"/>
    </row>
    <row r="10" spans="1:4" ht="4.25" customHeight="1"/>
    <row r="11" spans="1:4">
      <c r="A11" s="211" t="s">
        <v>0</v>
      </c>
      <c r="B11" s="212"/>
      <c r="C11" s="212"/>
      <c r="D11" s="212"/>
    </row>
    <row r="12" spans="1:4">
      <c r="A12" s="212"/>
      <c r="B12" s="212"/>
      <c r="C12" s="212"/>
      <c r="D12" s="212"/>
    </row>
    <row r="13" spans="1:4" ht="7.25" customHeight="1">
      <c r="A13" s="212"/>
      <c r="B13" s="212"/>
      <c r="C13" s="212"/>
      <c r="D13" s="212"/>
    </row>
    <row r="14" spans="1:4" ht="9" customHeight="1"/>
    <row r="15" spans="1:4" ht="14" customHeight="1">
      <c r="A15" s="3" t="s">
        <v>1</v>
      </c>
      <c r="B15" s="26"/>
    </row>
    <row r="16" spans="1:4" ht="14" customHeight="1">
      <c r="A16" s="213" t="s">
        <v>2</v>
      </c>
      <c r="B16" s="214"/>
      <c r="C16" s="215" t="s">
        <v>3</v>
      </c>
      <c r="D16" s="216"/>
    </row>
    <row r="17" spans="1:4" ht="6.75" customHeight="1">
      <c r="A17" s="14"/>
      <c r="B17" s="15"/>
      <c r="C17" s="10"/>
      <c r="D17" s="11"/>
    </row>
    <row r="18" spans="1:4" ht="14" customHeight="1">
      <c r="A18" s="16" t="s">
        <v>4</v>
      </c>
      <c r="B18" s="27" t="str">
        <f>ROUND('Edit This Sheet'!B4/5*100,2)&amp;"%"&amp;" "&amp;"Match"</f>
        <v>0% Match</v>
      </c>
      <c r="C18" s="12" t="s">
        <v>5</v>
      </c>
      <c r="D18" s="6" t="s">
        <v>392</v>
      </c>
    </row>
    <row r="19" spans="1:4" ht="14" customHeight="1">
      <c r="A19" s="16" t="s">
        <v>6</v>
      </c>
      <c r="B19" s="27" t="str">
        <f>ROUND('Edit This Sheet'!B5/13*100,1)&amp;"%"&amp;" "&amp;"Match"</f>
        <v>53.8% Match</v>
      </c>
      <c r="C19" s="12" t="s">
        <v>7</v>
      </c>
      <c r="D19" s="6" t="s">
        <v>392</v>
      </c>
    </row>
    <row r="20" spans="1:4" ht="14" customHeight="1">
      <c r="A20" s="16" t="s">
        <v>8</v>
      </c>
      <c r="B20" s="27" t="str">
        <f>ROUND('Edit This Sheet'!B6/13*100,2)&amp;"%"&amp;" "&amp;"Match"</f>
        <v>15.38% Match</v>
      </c>
      <c r="C20" s="12" t="s">
        <v>9</v>
      </c>
      <c r="D20" s="6" t="s">
        <v>392</v>
      </c>
    </row>
    <row r="21" spans="1:4" ht="14" customHeight="1">
      <c r="A21" s="16" t="s">
        <v>10</v>
      </c>
      <c r="B21" s="27" t="str">
        <f>ROUND('Edit This Sheet'!B7/9*100,2)&amp;"%"&amp;" "&amp;"Match"</f>
        <v>0% Match</v>
      </c>
      <c r="C21" s="12" t="s">
        <v>11</v>
      </c>
      <c r="D21" s="6" t="s">
        <v>392</v>
      </c>
    </row>
    <row r="22" spans="1:4" ht="14" customHeight="1">
      <c r="A22" s="16" t="s">
        <v>12</v>
      </c>
      <c r="B22" s="27" t="str">
        <f>ROUND('Edit This Sheet'!B8/5*100,2)&amp;"%"&amp;" "&amp;"Match"</f>
        <v>0% Match</v>
      </c>
      <c r="C22" s="12" t="s">
        <v>13</v>
      </c>
      <c r="D22" s="6" t="s">
        <v>392</v>
      </c>
    </row>
    <row r="23" spans="1:4" ht="14" customHeight="1">
      <c r="A23" s="16" t="s">
        <v>14</v>
      </c>
      <c r="B23" s="27" t="str">
        <f>ROUND('Edit This Sheet'!B9/5*100,2)&amp;"%"&amp;" "&amp;"Match"</f>
        <v>0% Match</v>
      </c>
      <c r="C23" s="12" t="s">
        <v>15</v>
      </c>
      <c r="D23" s="6" t="s">
        <v>392</v>
      </c>
    </row>
    <row r="24" spans="1:4" ht="14" customHeight="1">
      <c r="A24" s="16" t="s">
        <v>16</v>
      </c>
      <c r="B24" s="27" t="str">
        <f>ROUND('Edit This Sheet'!B10/5*100,2)&amp;"%"&amp;" "&amp;"Match"</f>
        <v>0% Match</v>
      </c>
      <c r="C24" s="12" t="s">
        <v>17</v>
      </c>
      <c r="D24" s="6" t="s">
        <v>392</v>
      </c>
    </row>
    <row r="25" spans="1:4" ht="14" customHeight="1">
      <c r="A25" s="16" t="s">
        <v>18</v>
      </c>
      <c r="B25" s="27" t="str">
        <f>ROUND('Edit This Sheet'!B11/5*100,2)&amp;"%"&amp;" "&amp;"Match"</f>
        <v>0% Match</v>
      </c>
      <c r="C25" s="12" t="s">
        <v>19</v>
      </c>
      <c r="D25" s="6" t="s">
        <v>392</v>
      </c>
    </row>
    <row r="26" spans="1:4" ht="14" customHeight="1">
      <c r="A26" s="16" t="s">
        <v>20</v>
      </c>
      <c r="B26" s="27" t="str">
        <f>ROUND('Edit This Sheet'!B12/5*100,2)&amp;"%"&amp;" "&amp;"Match"</f>
        <v>0% Match</v>
      </c>
      <c r="C26" s="12" t="s">
        <v>21</v>
      </c>
      <c r="D26" s="6" t="s">
        <v>392</v>
      </c>
    </row>
    <row r="27" spans="1:4" ht="14" customHeight="1">
      <c r="A27" s="16" t="s">
        <v>22</v>
      </c>
      <c r="B27" s="27" t="str">
        <f>ROUND('Edit This Sheet'!B13/5*100,2)&amp;"%"&amp;" "&amp;"Match"</f>
        <v>0% Match</v>
      </c>
      <c r="C27" s="8"/>
      <c r="D27" s="11"/>
    </row>
    <row r="28" spans="1:4" ht="14" customHeight="1">
      <c r="A28" s="17" t="s">
        <v>23</v>
      </c>
      <c r="B28" s="28" t="str">
        <f>ROUND('Edit This Sheet'!B14/13*100,2)&amp;"%"&amp;" "&amp;"Match"</f>
        <v>100% Match</v>
      </c>
      <c r="C28" s="9"/>
      <c r="D28" s="13"/>
    </row>
    <row r="29" spans="1:4" ht="12" customHeight="1">
      <c r="A29" s="2"/>
    </row>
    <row r="30" spans="1:4" ht="17" customHeight="1">
      <c r="A30" s="19" t="s">
        <v>24</v>
      </c>
      <c r="B30" s="196">
        <f>D32</f>
        <v>0.24719101123595505</v>
      </c>
      <c r="C30" s="197"/>
      <c r="D30" s="18" t="s">
        <v>25</v>
      </c>
    </row>
    <row r="31" spans="1:4" s="24" customFormat="1" ht="11.25" customHeight="1">
      <c r="A31" s="20"/>
      <c r="B31" s="21"/>
      <c r="C31" s="22"/>
      <c r="D31" s="23"/>
    </row>
    <row r="32" spans="1:4" ht="17" customHeight="1">
      <c r="A32" s="207" t="s">
        <v>26</v>
      </c>
      <c r="B32" s="208"/>
      <c r="C32" s="208"/>
      <c r="D32" s="7">
        <f>(('Edit This Sheet'!A17)/Inputs!L16)</f>
        <v>0.24719101123595505</v>
      </c>
    </row>
    <row r="33" spans="1:5">
      <c r="A33" s="205" t="str">
        <f>IF(D32&gt;0.5,"Your percentage is over 50%, therefore this report suggests that the participants may 
SHARE RELATIONSHIP.","Your percentage is under 50%, therefore this report suggests that the participants may 
NOT SHARE RELATIONSHIP.")</f>
        <v>Your percentage is under 50%, therefore this report suggests that the participants may 
NOT SHARE RELATIONSHIP.</v>
      </c>
      <c r="B33" s="206"/>
      <c r="C33" s="206"/>
      <c r="D33" s="206"/>
    </row>
    <row r="34" spans="1:5" ht="12" customHeight="1">
      <c r="A34" s="206"/>
      <c r="B34" s="206"/>
      <c r="C34" s="206"/>
      <c r="D34" s="206"/>
    </row>
    <row r="35" spans="1:5">
      <c r="A35" s="25" t="s">
        <v>27</v>
      </c>
      <c r="B35" s="4" t="str">
        <f ca="1">'Edit This Sheet'!D1</f>
        <v>Cousin201905273037</v>
      </c>
      <c r="C35" s="25" t="s">
        <v>28</v>
      </c>
      <c r="D35" s="29">
        <f ca="1">TODAY()</f>
        <v>43612</v>
      </c>
      <c r="E35" s="30"/>
    </row>
    <row r="36" spans="1:5" ht="7.25" customHeight="1"/>
    <row r="37" spans="1:5">
      <c r="A37" s="198" t="s">
        <v>29</v>
      </c>
      <c r="B37" s="199"/>
    </row>
    <row r="38" spans="1:5" ht="18" customHeight="1">
      <c r="A38" s="200" t="s">
        <v>30</v>
      </c>
      <c r="B38" s="201"/>
      <c r="C38" s="201"/>
      <c r="D38" s="201"/>
    </row>
    <row r="39" spans="1:5">
      <c r="A39" s="201"/>
      <c r="B39" s="201"/>
      <c r="C39" s="201"/>
      <c r="D39" s="201"/>
    </row>
    <row r="40" spans="1:5">
      <c r="A40" s="201"/>
      <c r="B40" s="201"/>
      <c r="C40" s="201"/>
      <c r="D40" s="201"/>
    </row>
    <row r="41" spans="1:5" ht="48" customHeight="1">
      <c r="A41" s="201"/>
      <c r="B41" s="201"/>
      <c r="C41" s="201"/>
      <c r="D41" s="201"/>
    </row>
    <row r="42" spans="1:5" ht="6" customHeight="1">
      <c r="A42" s="39"/>
      <c r="B42" s="39"/>
      <c r="C42" s="39"/>
      <c r="D42" s="39"/>
    </row>
    <row r="43" spans="1:5">
      <c r="A43" s="198" t="s">
        <v>31</v>
      </c>
      <c r="B43" s="199"/>
    </row>
    <row r="44" spans="1:5">
      <c r="A44" s="200" t="s">
        <v>32</v>
      </c>
      <c r="B44" s="201"/>
      <c r="C44" s="201"/>
      <c r="D44" s="201"/>
    </row>
    <row r="45" spans="1:5">
      <c r="A45" s="201"/>
      <c r="B45" s="201"/>
      <c r="C45" s="201"/>
      <c r="D45" s="201"/>
    </row>
    <row r="46" spans="1:5" ht="40" customHeight="1">
      <c r="A46" s="201"/>
      <c r="B46" s="201"/>
      <c r="C46" s="201"/>
      <c r="D46" s="201"/>
    </row>
    <row r="47" spans="1:5" hidden="1">
      <c r="A47" s="201"/>
      <c r="B47" s="201"/>
      <c r="C47" s="201"/>
      <c r="D47" s="201"/>
    </row>
  </sheetData>
  <mergeCells count="17">
    <mergeCell ref="C6:D6"/>
    <mergeCell ref="A33:D34"/>
    <mergeCell ref="A32:C32"/>
    <mergeCell ref="A9:D9"/>
    <mergeCell ref="A11:D13"/>
    <mergeCell ref="A16:B16"/>
    <mergeCell ref="C16:D16"/>
    <mergeCell ref="C1:D1"/>
    <mergeCell ref="C2:D2"/>
    <mergeCell ref="C3:D3"/>
    <mergeCell ref="C4:D4"/>
    <mergeCell ref="C5:D5"/>
    <mergeCell ref="B30:C30"/>
    <mergeCell ref="A43:B43"/>
    <mergeCell ref="A44:D47"/>
    <mergeCell ref="A38:D41"/>
    <mergeCell ref="A37:B37"/>
  </mergeCells>
  <phoneticPr fontId="13" type="noConversion"/>
  <conditionalFormatting sqref="B31">
    <cfRule type="dataBar" priority="5">
      <dataBar showValue="0">
        <cfvo type="percent" val="0"/>
        <cfvo type="percent" val="100"/>
        <color rgb="FF638EC6"/>
      </dataBar>
      <extLst>
        <ext xmlns:x14="http://schemas.microsoft.com/office/spreadsheetml/2009/9/main" uri="{B025F937-C7B1-47D3-B67F-A62EFF666E3E}">
          <x14:id>{F5A4BAFD-1FFB-486B-889A-02754370A81C}</x14:id>
        </ext>
      </extLst>
    </cfRule>
  </conditionalFormatting>
  <conditionalFormatting sqref="B30:C30">
    <cfRule type="dataBar" priority="1">
      <dataBar showValue="0">
        <cfvo type="num" val="0"/>
        <cfvo type="num" val="1"/>
        <color theme="5"/>
      </dataBar>
      <extLst>
        <ext xmlns:x14="http://schemas.microsoft.com/office/spreadsheetml/2009/9/main" uri="{B025F937-C7B1-47D3-B67F-A62EFF666E3E}">
          <x14:id>{7DF85570-029F-6041-B070-85D3DD2C4558}</x14:id>
        </ext>
      </extLst>
    </cfRule>
    <cfRule type="dataBar" priority="2">
      <dataBar>
        <cfvo type="num" val="0"/>
        <cfvo type="num" val="1"/>
        <color theme="5"/>
      </dataBar>
      <extLst>
        <ext xmlns:x14="http://schemas.microsoft.com/office/spreadsheetml/2009/9/main" uri="{B025F937-C7B1-47D3-B67F-A62EFF666E3E}">
          <x14:id>{F96BF3C8-9FF9-C444-AD71-7FA68439F73C}</x14:id>
        </ext>
      </extLst>
    </cfRule>
    <cfRule type="dataBar" priority="3">
      <dataBar showValue="0">
        <cfvo type="num" val="0"/>
        <cfvo type="num" val="1"/>
        <color rgb="FF638EC6"/>
      </dataBar>
      <extLst>
        <ext xmlns:x14="http://schemas.microsoft.com/office/spreadsheetml/2009/9/main" uri="{B025F937-C7B1-47D3-B67F-A62EFF666E3E}">
          <x14:id>{40600E4E-CF6B-424A-8AC1-AA5046B8F7E4}</x14:id>
        </ext>
      </extLst>
    </cfRule>
    <cfRule type="dataBar" priority="4">
      <dataBar>
        <cfvo type="num" val="0"/>
        <cfvo type="num" val="0.81"/>
        <color theme="5"/>
      </dataBar>
      <extLst>
        <ext xmlns:x14="http://schemas.microsoft.com/office/spreadsheetml/2009/9/main" uri="{B025F937-C7B1-47D3-B67F-A62EFF666E3E}">
          <x14:id>{CF2738D6-4705-C140-8822-852B117FB2D3}</x14:id>
        </ext>
      </extLst>
    </cfRule>
  </conditionalFormatting>
  <hyperlinks>
    <hyperlink ref="C5" r:id="rId1" xr:uid="{00000000-0004-0000-0000-000000000000}"/>
    <hyperlink ref="C6" r:id="rId2" xr:uid="{00000000-0004-0000-0000-000001000000}"/>
  </hyperlinks>
  <pageMargins left="0.7" right="0.7" top="0.75" bottom="0.75" header="0.3" footer="0.3"/>
  <pageSetup orientation="portrait" horizontalDpi="4294967295" verticalDpi="4294967295" r:id="rId3"/>
  <drawing r:id="rId4"/>
  <extLst>
    <ext xmlns:x14="http://schemas.microsoft.com/office/spreadsheetml/2009/9/main" uri="{78C0D931-6437-407d-A8EE-F0AAD7539E65}">
      <x14:conditionalFormattings>
        <x14:conditionalFormatting xmlns:xm="http://schemas.microsoft.com/office/excel/2006/main">
          <x14:cfRule type="dataBar" id="{F5A4BAFD-1FFB-486B-889A-02754370A81C}">
            <x14:dataBar minLength="0" maxLength="100" border="1" direction="leftToRight">
              <x14:cfvo type="percent">
                <xm:f>0</xm:f>
              </x14:cfvo>
              <x14:cfvo type="percent">
                <xm:f>100</xm:f>
              </x14:cfvo>
              <x14:borderColor rgb="FF000000"/>
              <x14:negativeFillColor rgb="FFFF0000"/>
              <x14:axisColor rgb="FF000000"/>
            </x14:dataBar>
          </x14:cfRule>
          <xm:sqref>B31</xm:sqref>
        </x14:conditionalFormatting>
        <x14:conditionalFormatting xmlns:xm="http://schemas.microsoft.com/office/excel/2006/main">
          <x14:cfRule type="dataBar" id="{7DF85570-029F-6041-B070-85D3DD2C4558}">
            <x14:dataBar minLength="0" maxLength="100" direction="leftToRight">
              <x14:cfvo type="num">
                <xm:f>0</xm:f>
              </x14:cfvo>
              <x14:cfvo type="num">
                <xm:f>1</xm:f>
              </x14:cfvo>
              <x14:negativeFillColor rgb="FFFF0000"/>
              <x14:axisColor rgb="FF000000"/>
            </x14:dataBar>
          </x14:cfRule>
          <x14:cfRule type="dataBar" id="{F96BF3C8-9FF9-C444-AD71-7FA68439F73C}">
            <x14:dataBar minLength="0" maxLength="100" direction="leftToRight">
              <x14:cfvo type="num">
                <xm:f>0</xm:f>
              </x14:cfvo>
              <x14:cfvo type="num">
                <xm:f>1</xm:f>
              </x14:cfvo>
              <x14:negativeFillColor rgb="FFFF0000"/>
              <x14:axisColor rgb="FF000000"/>
            </x14:dataBar>
          </x14:cfRule>
          <x14:cfRule type="dataBar" id="{40600E4E-CF6B-424A-8AC1-AA5046B8F7E4}">
            <x14:dataBar minLength="0" maxLength="100" direction="leftToRight">
              <x14:cfvo type="num">
                <xm:f>0</xm:f>
              </x14:cfvo>
              <x14:cfvo type="num">
                <xm:f>1</xm:f>
              </x14:cfvo>
              <x14:negativeFillColor rgb="FFFF0000"/>
              <x14:axisColor rgb="FF000000"/>
            </x14:dataBar>
          </x14:cfRule>
          <x14:cfRule type="dataBar" id="{CF2738D6-4705-C140-8822-852B117FB2D3}">
            <x14:dataBar minLength="0" maxLength="100" border="1">
              <x14:cfvo type="num">
                <xm:f>0</xm:f>
              </x14:cfvo>
              <x14:cfvo type="num">
                <xm:f>0.81</xm:f>
              </x14:cfvo>
              <x14:borderColor theme="5"/>
              <x14:negativeFillColor rgb="FFFF0000"/>
              <x14:axisColor rgb="FF000000"/>
            </x14:dataBar>
          </x14:cfRule>
          <xm:sqref>B30:C30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39997558519241921"/>
  </sheetPr>
  <dimension ref="A1:M51"/>
  <sheetViews>
    <sheetView tabSelected="1" zoomScale="125" zoomScaleNormal="75" workbookViewId="0">
      <selection activeCell="C32" sqref="C32"/>
    </sheetView>
  </sheetViews>
  <sheetFormatPr baseColWidth="10" defaultColWidth="0" defaultRowHeight="18" zeroHeight="1"/>
  <cols>
    <col min="1" max="1" width="31.33203125" style="31" customWidth="1"/>
    <col min="2" max="2" width="12.33203125" style="31" customWidth="1"/>
    <col min="3" max="3" width="22" style="34" customWidth="1"/>
    <col min="4" max="4" width="18.5" style="34" customWidth="1"/>
    <col min="5" max="5" width="2.6640625" style="31" customWidth="1"/>
    <col min="6" max="13" width="0" style="31" hidden="1" customWidth="1"/>
    <col min="14" max="16384" width="8.6640625" style="31" hidden="1"/>
  </cols>
  <sheetData>
    <row r="1" spans="1:8">
      <c r="A1" s="217" t="s">
        <v>396</v>
      </c>
      <c r="B1" s="218"/>
      <c r="C1" s="57" t="s">
        <v>33</v>
      </c>
      <c r="D1" s="50" t="str">
        <f ca="1">CONCATENATE("Cousin",TEXT(NOW(),"YYYYMMDD"),ROUNDUP((RAND()*10000),0))</f>
        <v>Cousin201905273037</v>
      </c>
      <c r="E1" s="1"/>
      <c r="F1" s="1"/>
      <c r="G1" s="1"/>
      <c r="H1" s="1"/>
    </row>
    <row r="2" spans="1:8" ht="14" customHeight="1">
      <c r="A2" s="219" t="s">
        <v>397</v>
      </c>
      <c r="B2" s="220"/>
      <c r="C2" s="232"/>
      <c r="D2" s="233"/>
      <c r="E2" s="1"/>
      <c r="F2" s="1"/>
      <c r="G2" s="1"/>
      <c r="H2" s="1"/>
    </row>
    <row r="3" spans="1:8" ht="15" customHeight="1">
      <c r="A3" s="55" t="s">
        <v>34</v>
      </c>
      <c r="B3" s="32" t="s">
        <v>35</v>
      </c>
      <c r="C3" s="102" t="s">
        <v>34</v>
      </c>
      <c r="D3" s="102" t="s">
        <v>35</v>
      </c>
      <c r="E3" s="1"/>
      <c r="F3" s="1"/>
      <c r="G3" s="1"/>
      <c r="H3" s="1"/>
    </row>
    <row r="4" spans="1:8" ht="19">
      <c r="A4" s="40" t="s">
        <v>36</v>
      </c>
      <c r="B4" s="133">
        <f>Summary!S68</f>
        <v>0</v>
      </c>
      <c r="C4" s="120" t="s">
        <v>66</v>
      </c>
      <c r="D4" s="230" t="s">
        <v>391</v>
      </c>
      <c r="E4" s="1" t="s">
        <v>58</v>
      </c>
      <c r="F4" s="1"/>
      <c r="G4" s="5"/>
      <c r="H4" s="5"/>
    </row>
    <row r="5" spans="1:8" ht="30" customHeight="1">
      <c r="A5" s="16" t="s">
        <v>63</v>
      </c>
      <c r="B5" s="131">
        <f>Summary!S25+Summary!S30</f>
        <v>7</v>
      </c>
      <c r="C5" s="121" t="s">
        <v>37</v>
      </c>
      <c r="D5" s="231"/>
      <c r="E5" s="1"/>
      <c r="F5" s="1"/>
      <c r="G5" s="5"/>
      <c r="H5" s="5"/>
    </row>
    <row r="6" spans="1:8">
      <c r="A6" s="16" t="s">
        <v>64</v>
      </c>
      <c r="B6" s="131">
        <f>Summary!S42+Summary!S36</f>
        <v>2</v>
      </c>
      <c r="C6" s="121" t="s">
        <v>65</v>
      </c>
      <c r="D6" s="231"/>
      <c r="E6" s="1"/>
      <c r="F6" s="1"/>
      <c r="G6" s="5"/>
      <c r="H6" s="5"/>
    </row>
    <row r="7" spans="1:8">
      <c r="A7" s="16" t="s">
        <v>38</v>
      </c>
      <c r="B7" s="131">
        <f>Summary!S51</f>
        <v>0</v>
      </c>
      <c r="C7" s="121" t="s">
        <v>39</v>
      </c>
      <c r="D7" s="231"/>
      <c r="E7" s="1"/>
      <c r="F7" s="1"/>
      <c r="G7" s="5"/>
      <c r="H7" s="5"/>
    </row>
    <row r="8" spans="1:8">
      <c r="A8" s="16" t="s">
        <v>40</v>
      </c>
      <c r="B8" s="131">
        <f>Summary!S72</f>
        <v>0</v>
      </c>
      <c r="C8" s="121" t="s">
        <v>41</v>
      </c>
      <c r="D8" s="231"/>
      <c r="E8" s="1"/>
      <c r="F8" s="1"/>
      <c r="G8" s="5"/>
      <c r="H8" s="5"/>
    </row>
    <row r="9" spans="1:8">
      <c r="A9" s="16" t="s">
        <v>42</v>
      </c>
      <c r="B9" s="131">
        <f>Summary!S20</f>
        <v>0</v>
      </c>
      <c r="C9" s="121" t="s">
        <v>43</v>
      </c>
      <c r="D9" s="231"/>
      <c r="E9" s="1"/>
      <c r="F9" s="1"/>
      <c r="G9" s="5"/>
      <c r="H9" s="5"/>
    </row>
    <row r="10" spans="1:8">
      <c r="A10" s="16" t="s">
        <v>44</v>
      </c>
      <c r="B10" s="131">
        <f>Summary!S80</f>
        <v>0</v>
      </c>
      <c r="C10" s="121" t="s">
        <v>45</v>
      </c>
      <c r="D10" s="231"/>
      <c r="E10" s="1"/>
      <c r="F10" s="1"/>
      <c r="G10" s="5"/>
      <c r="H10" s="5"/>
    </row>
    <row r="11" spans="1:8">
      <c r="A11" s="16" t="s">
        <v>46</v>
      </c>
      <c r="B11" s="131">
        <f>Summary!S86</f>
        <v>0</v>
      </c>
      <c r="C11" s="121" t="s">
        <v>47</v>
      </c>
      <c r="D11" s="231"/>
      <c r="E11" s="1"/>
      <c r="F11" s="1"/>
      <c r="G11" s="5"/>
      <c r="H11" s="5"/>
    </row>
    <row r="12" spans="1:8">
      <c r="A12" s="16" t="s">
        <v>48</v>
      </c>
      <c r="B12" s="131">
        <f>Summary!S90</f>
        <v>0</v>
      </c>
      <c r="C12" s="121" t="s">
        <v>49</v>
      </c>
      <c r="D12" s="231"/>
      <c r="E12" s="1"/>
      <c r="F12" s="1"/>
      <c r="G12" s="5"/>
      <c r="H12" s="5"/>
    </row>
    <row r="13" spans="1:8">
      <c r="A13" s="16" t="s">
        <v>50</v>
      </c>
      <c r="B13" s="131">
        <f>Summary!S95</f>
        <v>0</v>
      </c>
      <c r="C13" s="122" t="s">
        <v>385</v>
      </c>
      <c r="D13" s="91"/>
      <c r="E13" s="1"/>
      <c r="F13" s="1"/>
      <c r="G13" s="5"/>
      <c r="H13" s="41"/>
    </row>
    <row r="14" spans="1:8">
      <c r="A14" s="16" t="s">
        <v>394</v>
      </c>
      <c r="B14" s="132">
        <v>13</v>
      </c>
      <c r="C14" s="123">
        <f>SUM(D4:D12)</f>
        <v>0</v>
      </c>
      <c r="D14" s="91"/>
      <c r="E14" s="1"/>
      <c r="F14" s="1"/>
      <c r="G14" s="5"/>
      <c r="H14" s="41"/>
    </row>
    <row r="15" spans="1:8">
      <c r="A15" s="33" t="s">
        <v>393</v>
      </c>
      <c r="B15" s="42"/>
      <c r="C15" s="124"/>
      <c r="D15" s="103"/>
      <c r="E15" s="1"/>
      <c r="F15" s="1"/>
      <c r="G15" s="1"/>
      <c r="H15" s="1"/>
    </row>
    <row r="16" spans="1:8" ht="8.25" customHeight="1">
      <c r="A16" s="43"/>
      <c r="B16" s="51"/>
      <c r="C16" s="221" t="s">
        <v>51</v>
      </c>
      <c r="D16" s="222"/>
      <c r="E16" s="1"/>
      <c r="F16" s="1"/>
      <c r="G16" s="1"/>
      <c r="H16" s="1"/>
    </row>
    <row r="17" spans="1:12">
      <c r="A17" s="44">
        <f>SUM(B4:B14)</f>
        <v>22</v>
      </c>
      <c r="B17" s="56"/>
      <c r="C17" s="223"/>
      <c r="D17" s="224"/>
      <c r="E17" s="1"/>
      <c r="F17" s="1"/>
      <c r="G17" s="1"/>
      <c r="H17" s="1"/>
      <c r="I17" s="1"/>
      <c r="J17" s="1"/>
      <c r="K17" s="1"/>
      <c r="L17" s="1"/>
    </row>
    <row r="18" spans="1:12" ht="9.75" customHeight="1">
      <c r="A18" s="58"/>
      <c r="B18" s="59"/>
      <c r="C18" s="225"/>
      <c r="D18" s="226"/>
      <c r="E18" s="1"/>
      <c r="F18" s="1"/>
      <c r="G18" s="1"/>
      <c r="H18" s="1"/>
      <c r="I18" s="1"/>
      <c r="J18" s="1"/>
      <c r="K18" s="1"/>
      <c r="L18" s="1"/>
    </row>
    <row r="19" spans="1:12" hidden="1">
      <c r="A19" s="104" t="s">
        <v>111</v>
      </c>
      <c r="B19" s="128" t="s">
        <v>59</v>
      </c>
      <c r="C19" s="104" t="s">
        <v>5</v>
      </c>
      <c r="D19" s="129" t="s">
        <v>59</v>
      </c>
      <c r="E19" s="1"/>
      <c r="F19" s="1"/>
      <c r="G19" s="1"/>
      <c r="H19" s="1"/>
      <c r="I19" s="1"/>
      <c r="J19" s="1"/>
      <c r="K19" s="1"/>
      <c r="L19" s="1"/>
    </row>
    <row r="20" spans="1:12" hidden="1">
      <c r="A20" s="105" t="s">
        <v>110</v>
      </c>
      <c r="B20" s="128" t="s">
        <v>59</v>
      </c>
      <c r="C20" s="105" t="s">
        <v>7</v>
      </c>
      <c r="D20" s="130" t="s">
        <v>59</v>
      </c>
      <c r="E20" s="34"/>
      <c r="F20" s="1"/>
      <c r="G20" s="1"/>
      <c r="H20" s="1"/>
      <c r="I20" s="1"/>
      <c r="J20" s="1"/>
      <c r="K20" s="1"/>
      <c r="L20" s="1"/>
    </row>
    <row r="21" spans="1:12" hidden="1">
      <c r="A21" s="105" t="s">
        <v>109</v>
      </c>
      <c r="B21" s="128" t="s">
        <v>59</v>
      </c>
      <c r="C21" s="105" t="s">
        <v>9</v>
      </c>
      <c r="D21" s="130" t="s">
        <v>59</v>
      </c>
      <c r="E21" s="1"/>
      <c r="F21" s="1"/>
      <c r="G21" s="1"/>
      <c r="H21" s="1"/>
      <c r="I21" s="1"/>
      <c r="J21" s="1"/>
      <c r="K21" s="1"/>
      <c r="L21" s="1"/>
    </row>
    <row r="22" spans="1:12" hidden="1">
      <c r="A22" s="105" t="s">
        <v>108</v>
      </c>
      <c r="B22" s="128" t="s">
        <v>59</v>
      </c>
      <c r="C22" s="105" t="s">
        <v>11</v>
      </c>
      <c r="D22" s="130" t="s">
        <v>59</v>
      </c>
      <c r="E22" s="1"/>
      <c r="F22" s="1"/>
      <c r="G22" s="1"/>
      <c r="H22"/>
      <c r="I22" s="1"/>
      <c r="J22" s="1"/>
      <c r="K22" s="1"/>
      <c r="L22"/>
    </row>
    <row r="23" spans="1:12" hidden="1">
      <c r="A23" s="105" t="s">
        <v>53</v>
      </c>
      <c r="B23" s="128" t="s">
        <v>69</v>
      </c>
      <c r="C23" s="105" t="s">
        <v>67</v>
      </c>
      <c r="D23" s="130" t="s">
        <v>84</v>
      </c>
      <c r="E23" s="1"/>
      <c r="F23" s="1"/>
      <c r="G23" s="1"/>
      <c r="H23" s="1"/>
      <c r="I23" s="1"/>
      <c r="J23" s="1"/>
      <c r="K23"/>
      <c r="L23" s="1"/>
    </row>
    <row r="24" spans="1:12" hidden="1">
      <c r="A24" s="105" t="s">
        <v>113</v>
      </c>
      <c r="B24" s="128" t="s">
        <v>89</v>
      </c>
      <c r="C24" s="105" t="s">
        <v>68</v>
      </c>
      <c r="D24" s="130" t="s">
        <v>89</v>
      </c>
      <c r="E24" s="1"/>
      <c r="F24"/>
      <c r="G24" s="1"/>
      <c r="H24" s="1"/>
      <c r="I24" s="1"/>
      <c r="J24" s="1"/>
      <c r="K24" s="1"/>
      <c r="L24" s="1"/>
    </row>
    <row r="25" spans="1:12" hidden="1">
      <c r="A25" s="105" t="s">
        <v>112</v>
      </c>
      <c r="B25" s="128" t="s">
        <v>59</v>
      </c>
      <c r="C25" s="105" t="s">
        <v>17</v>
      </c>
      <c r="D25" s="130" t="s">
        <v>59</v>
      </c>
      <c r="E25" s="1"/>
      <c r="F25" s="1"/>
      <c r="G25" s="1"/>
      <c r="H25" s="1"/>
      <c r="I25" s="1"/>
      <c r="J25" s="1"/>
      <c r="K25" s="1"/>
      <c r="L25" s="1"/>
    </row>
    <row r="26" spans="1:12" hidden="1">
      <c r="A26" s="105" t="s">
        <v>114</v>
      </c>
      <c r="B26" s="128" t="s">
        <v>59</v>
      </c>
      <c r="C26" s="105" t="s">
        <v>52</v>
      </c>
      <c r="D26" s="130" t="s">
        <v>59</v>
      </c>
      <c r="E26" s="34"/>
      <c r="F26" s="1"/>
      <c r="G26" s="1"/>
      <c r="H26" s="1"/>
      <c r="I26" s="1"/>
      <c r="J26" s="1"/>
      <c r="K26" s="1"/>
      <c r="L26" s="1"/>
    </row>
    <row r="27" spans="1:12" ht="18" hidden="1" customHeight="1">
      <c r="A27" s="105" t="s">
        <v>115</v>
      </c>
      <c r="B27" s="128" t="s">
        <v>60</v>
      </c>
      <c r="C27" s="105" t="s">
        <v>21</v>
      </c>
      <c r="D27" s="130" t="s">
        <v>60</v>
      </c>
      <c r="E27" s="1"/>
      <c r="F27"/>
      <c r="G27" s="1"/>
      <c r="H27"/>
      <c r="I27" s="1"/>
      <c r="J27" s="1"/>
      <c r="K27" s="1"/>
      <c r="L27" s="1"/>
    </row>
    <row r="28" spans="1:12" hidden="1">
      <c r="A28" s="106"/>
      <c r="B28" s="107"/>
      <c r="C28" s="106"/>
      <c r="D28" s="108"/>
      <c r="E28"/>
      <c r="F28" s="1"/>
      <c r="G28"/>
      <c r="H28" s="1"/>
      <c r="I28" s="1"/>
      <c r="J28" s="1"/>
      <c r="K28" s="1"/>
      <c r="L28" s="1"/>
    </row>
    <row r="29" spans="1:12" ht="5.25" customHeight="1">
      <c r="A29" s="45"/>
      <c r="B29" s="51"/>
      <c r="D29" s="35"/>
      <c r="E29" s="1"/>
      <c r="F29" s="1"/>
      <c r="G29" s="1"/>
      <c r="H29" s="1"/>
      <c r="I29" s="1"/>
      <c r="J29" s="1"/>
      <c r="K29" s="1"/>
      <c r="L29" s="1"/>
    </row>
    <row r="30" spans="1:12" ht="11" customHeight="1">
      <c r="A30" s="227" t="str">
        <f>SUM(C14,A17)&amp;" (83 is The Total Possible Match for the Cousin Package)"</f>
        <v>22 (83 is The Total Possible Match for the Cousin Package)</v>
      </c>
      <c r="B30" s="228"/>
      <c r="C30" s="228"/>
      <c r="D30" s="229"/>
      <c r="E30"/>
      <c r="F30" s="1"/>
      <c r="G30"/>
      <c r="H30" s="1"/>
      <c r="I30" s="1"/>
      <c r="J30"/>
      <c r="K30" s="1"/>
      <c r="L30" s="1"/>
    </row>
    <row r="31" spans="1:12" ht="8.25" customHeight="1">
      <c r="A31" s="51"/>
      <c r="B31" s="51"/>
      <c r="D31" s="35"/>
      <c r="E31" s="1"/>
      <c r="F31" s="1"/>
      <c r="G31" s="1"/>
      <c r="H31" s="1"/>
      <c r="I31"/>
      <c r="J31" s="1"/>
      <c r="K31" s="1"/>
      <c r="L31" s="1"/>
    </row>
    <row r="32" spans="1:12">
      <c r="A32" s="194"/>
      <c r="B32" s="50"/>
      <c r="C32" s="54"/>
      <c r="D32" s="50"/>
      <c r="E32"/>
      <c r="F32"/>
      <c r="G32" s="1"/>
      <c r="H32"/>
      <c r="I32" s="1"/>
      <c r="J32" s="1"/>
      <c r="K32" s="1"/>
      <c r="L32" s="1"/>
    </row>
    <row r="33" spans="1:11">
      <c r="A33" s="52"/>
      <c r="B33" s="49"/>
      <c r="C33"/>
      <c r="D33" s="49"/>
      <c r="E33"/>
      <c r="F33" s="1"/>
      <c r="G33" s="1"/>
      <c r="H33" s="1"/>
      <c r="I33" s="1"/>
      <c r="J33" s="1"/>
      <c r="K33" s="1"/>
    </row>
    <row r="34" spans="1:11">
      <c r="A34" s="52"/>
      <c r="B34" s="49"/>
      <c r="C34" s="52"/>
      <c r="D34" s="49"/>
      <c r="E34"/>
      <c r="F34" s="34"/>
      <c r="G34"/>
      <c r="H34" s="1"/>
      <c r="I34" s="1"/>
      <c r="J34" s="1"/>
      <c r="K34" s="1"/>
    </row>
    <row r="35" spans="1:11">
      <c r="A35" s="52"/>
      <c r="B35" s="49"/>
      <c r="C35" s="52"/>
      <c r="D35" s="49"/>
      <c r="E35"/>
      <c r="F35" s="1"/>
      <c r="G35" s="1"/>
      <c r="H35" s="1"/>
      <c r="I35" s="1"/>
      <c r="J35"/>
      <c r="K35" s="1"/>
    </row>
    <row r="36" spans="1:11">
      <c r="A36" s="52"/>
      <c r="B36" s="49"/>
      <c r="C36" s="52"/>
      <c r="D36" s="49"/>
      <c r="E36"/>
      <c r="F36"/>
      <c r="G36" s="1"/>
      <c r="H36" s="1"/>
      <c r="I36" s="1"/>
      <c r="J36" s="1"/>
      <c r="K36"/>
    </row>
    <row r="37" spans="1:11">
      <c r="A37" s="52"/>
      <c r="B37" s="62"/>
      <c r="C37" s="53"/>
      <c r="D37" s="49"/>
      <c r="E37" s="34"/>
      <c r="F37" s="34"/>
      <c r="G37" s="1"/>
      <c r="H37" s="1"/>
      <c r="I37" s="1"/>
      <c r="J37" s="1"/>
      <c r="K37" s="1"/>
    </row>
    <row r="38" spans="1:11">
      <c r="A38" s="45"/>
      <c r="B38" s="49"/>
      <c r="C38" s="52"/>
      <c r="D38" s="35"/>
      <c r="E38"/>
      <c r="F38" s="1"/>
      <c r="G38" s="1"/>
      <c r="H38" s="1"/>
      <c r="I38" s="1"/>
      <c r="J38" s="1"/>
      <c r="K38" s="1"/>
    </row>
    <row r="39" spans="1:11">
      <c r="A39" s="45"/>
      <c r="B39" s="62"/>
      <c r="C39" s="52"/>
      <c r="D39" s="35"/>
      <c r="E39" s="1"/>
      <c r="F39" s="1"/>
      <c r="G39" s="1"/>
      <c r="H39" s="1"/>
      <c r="I39" s="1"/>
      <c r="J39" s="1"/>
      <c r="K39" s="1"/>
    </row>
    <row r="40" spans="1:11">
      <c r="A40" s="45"/>
      <c r="B40" s="62"/>
      <c r="C40" s="53"/>
      <c r="D40" s="35"/>
      <c r="E40"/>
      <c r="F40" s="1"/>
      <c r="G40" s="1"/>
      <c r="H40" s="1"/>
      <c r="I40" s="1"/>
      <c r="J40" s="1"/>
      <c r="K40" s="1"/>
    </row>
    <row r="41" spans="1:11">
      <c r="A41" s="61"/>
      <c r="B41" s="47"/>
      <c r="C41" s="60"/>
      <c r="D41" s="37"/>
      <c r="E41" s="1"/>
      <c r="F41" s="1"/>
      <c r="G41" s="34"/>
      <c r="H41" s="1"/>
      <c r="I41" s="1"/>
      <c r="J41" s="1"/>
      <c r="K41" s="1"/>
    </row>
    <row r="42" spans="1:11" ht="2" customHeight="1">
      <c r="A42" s="46"/>
      <c r="B42" s="47"/>
      <c r="C42" s="36"/>
      <c r="D42" s="37"/>
      <c r="E42" s="1"/>
      <c r="F42" s="1"/>
      <c r="G42" s="1"/>
      <c r="H42" s="1"/>
      <c r="I42" s="1"/>
      <c r="J42" s="1"/>
      <c r="K42" s="1"/>
    </row>
    <row r="43" spans="1:11">
      <c r="A43" s="51"/>
      <c r="B43" s="48"/>
      <c r="C43"/>
      <c r="D43" s="38"/>
      <c r="E43" s="1"/>
      <c r="F43" s="1"/>
      <c r="G43" s="1"/>
      <c r="H43" s="1"/>
      <c r="I43" s="1"/>
      <c r="J43" s="1"/>
      <c r="K43" s="1"/>
    </row>
    <row r="44" spans="1:11" hidden="1"/>
    <row r="45" spans="1:11" hidden="1">
      <c r="E45"/>
    </row>
    <row r="46" spans="1:11" hidden="1"/>
    <row r="47" spans="1:11" hidden="1"/>
    <row r="48" spans="1:11" hidden="1"/>
    <row r="49" spans="4:4" hidden="1"/>
    <row r="50" spans="4:4" hidden="1"/>
    <row r="51" spans="4:4" hidden="1">
      <c r="D51"/>
    </row>
  </sheetData>
  <mergeCells count="6">
    <mergeCell ref="A1:B1"/>
    <mergeCell ref="A2:B2"/>
    <mergeCell ref="C16:D18"/>
    <mergeCell ref="A30:D30"/>
    <mergeCell ref="D4:D12"/>
    <mergeCell ref="C2:D2"/>
  </mergeCells>
  <phoneticPr fontId="13" type="noConversion"/>
  <pageMargins left="0.7" right="0.7" top="0.75" bottom="0.75" header="0.3" footer="0.3"/>
  <pageSetup orientation="portrait" horizontalDpi="4294967295" verticalDpi="4294967295"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Inputs!$B$3:$B$5</xm:f>
          </x14:formula1>
          <xm:sqref>B19:B22 D19:D22 B25:B26 D25:D26</xm:sqref>
        </x14:dataValidation>
        <x14:dataValidation type="list" allowBlank="1" showInputMessage="1" showErrorMessage="1" xr:uid="{00000000-0002-0000-0100-000001000000}">
          <x14:formula1>
            <xm:f>Inputs!$E$3:$E$11</xm:f>
          </x14:formula1>
          <xm:sqref>B27 D27</xm:sqref>
        </x14:dataValidation>
        <x14:dataValidation type="list" allowBlank="1" showInputMessage="1" showErrorMessage="1" xr:uid="{00000000-0002-0000-0100-000002000000}">
          <x14:formula1>
            <xm:f>Inputs!$C$3:$C$9</xm:f>
          </x14:formula1>
          <xm:sqref>B23 D23</xm:sqref>
        </x14:dataValidation>
        <x14:dataValidation type="list" allowBlank="1" showInputMessage="1" showErrorMessage="1" xr:uid="{00000000-0002-0000-0100-000003000000}">
          <x14:formula1>
            <xm:f>Inputs!$D$3:$D$10</xm:f>
          </x14:formula1>
          <xm:sqref>B24 D24</xm:sqref>
        </x14:dataValidation>
        <x14:dataValidation type="whole" allowBlank="1" showInputMessage="1" showErrorMessage="1" errorTitle="Invalid Input" error="Invalid Input" xr:uid="{00000000-0002-0000-0100-000004000000}">
          <x14:formula1>
            <xm:f>Inputs!K15</xm:f>
          </x14:formula1>
          <x14:formula2>
            <xm:f>Inputs!L15</xm:f>
          </x14:formula2>
          <xm:sqref>B14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0000"/>
  </sheetPr>
  <dimension ref="A1:Y97"/>
  <sheetViews>
    <sheetView zoomScale="112" workbookViewId="0">
      <pane ySplit="2" topLeftCell="A3" activePane="bottomLeft" state="frozen"/>
      <selection pane="bottomLeft" activeCell="A9" sqref="A9"/>
    </sheetView>
  </sheetViews>
  <sheetFormatPr baseColWidth="10" defaultColWidth="8.83203125" defaultRowHeight="15"/>
  <cols>
    <col min="1" max="1" width="15.1640625" customWidth="1"/>
    <col min="2" max="2" width="14.1640625" customWidth="1"/>
    <col min="3" max="3" width="8.5" bestFit="1" customWidth="1"/>
    <col min="4" max="4" width="6.5" bestFit="1" customWidth="1"/>
    <col min="5" max="5" width="7.33203125" style="169" bestFit="1" customWidth="1"/>
    <col min="6" max="6" width="6.5" style="170" bestFit="1" customWidth="1"/>
    <col min="7" max="7" width="3.83203125" style="176" bestFit="1" customWidth="1"/>
    <col min="8" max="8" width="6.5" style="169" bestFit="1" customWidth="1"/>
    <col min="9" max="9" width="6.5" style="134" bestFit="1" customWidth="1"/>
    <col min="10" max="10" width="3.83203125" style="176" bestFit="1" customWidth="1"/>
    <col min="11" max="11" width="6.5" style="169" bestFit="1" customWidth="1"/>
    <col min="12" max="12" width="6.5" style="170" bestFit="1" customWidth="1"/>
    <col min="13" max="13" width="3.83203125" style="176" bestFit="1" customWidth="1"/>
    <col min="14" max="14" width="6.5" style="169" bestFit="1" customWidth="1"/>
    <col min="15" max="15" width="6.5" style="170" bestFit="1" customWidth="1"/>
    <col min="16" max="16" width="3.83203125" style="176" bestFit="1" customWidth="1"/>
    <col min="17" max="19" width="10.83203125" style="114" bestFit="1" customWidth="1"/>
    <col min="20" max="20" width="9.6640625" style="114" bestFit="1" customWidth="1"/>
    <col min="22" max="22" width="17" bestFit="1" customWidth="1"/>
    <col min="23" max="24" width="19.33203125" bestFit="1" customWidth="1"/>
    <col min="25" max="25" width="17" bestFit="1" customWidth="1"/>
  </cols>
  <sheetData>
    <row r="1" spans="1:25" ht="15.75" customHeight="1">
      <c r="A1" s="235" t="s">
        <v>398</v>
      </c>
      <c r="B1" s="245" t="s">
        <v>399</v>
      </c>
      <c r="C1" s="237" t="s">
        <v>339</v>
      </c>
      <c r="D1" s="238" t="s">
        <v>340</v>
      </c>
      <c r="E1" s="234" t="s">
        <v>344</v>
      </c>
      <c r="F1" s="234"/>
      <c r="G1" s="234"/>
      <c r="H1" s="234" t="s">
        <v>345</v>
      </c>
      <c r="I1" s="234"/>
      <c r="J1" s="234"/>
      <c r="K1" s="234" t="s">
        <v>346</v>
      </c>
      <c r="L1" s="234"/>
      <c r="M1" s="234"/>
      <c r="N1" s="234" t="s">
        <v>347</v>
      </c>
      <c r="O1" s="234"/>
      <c r="P1" s="234"/>
      <c r="Q1" s="117"/>
      <c r="R1" s="117"/>
      <c r="S1" s="117"/>
      <c r="T1" s="117"/>
    </row>
    <row r="2" spans="1:25" ht="17" thickBot="1">
      <c r="A2" s="236"/>
      <c r="B2" s="236"/>
      <c r="C2" s="237"/>
      <c r="D2" s="238"/>
      <c r="E2" s="165" t="s">
        <v>341</v>
      </c>
      <c r="F2" s="166" t="s">
        <v>342</v>
      </c>
      <c r="G2" s="173" t="s">
        <v>343</v>
      </c>
      <c r="H2" s="165" t="s">
        <v>341</v>
      </c>
      <c r="I2" s="185" t="s">
        <v>342</v>
      </c>
      <c r="J2" s="173" t="s">
        <v>343</v>
      </c>
      <c r="K2" s="165" t="s">
        <v>341</v>
      </c>
      <c r="L2" s="166" t="s">
        <v>342</v>
      </c>
      <c r="M2" s="173" t="s">
        <v>343</v>
      </c>
      <c r="N2" s="165" t="s">
        <v>341</v>
      </c>
      <c r="O2" s="166" t="s">
        <v>342</v>
      </c>
      <c r="P2" s="173" t="s">
        <v>343</v>
      </c>
      <c r="Q2" s="117"/>
      <c r="R2" s="117"/>
      <c r="S2" s="117"/>
      <c r="T2" s="117"/>
    </row>
    <row r="3" spans="1:25" ht="16">
      <c r="A3">
        <v>60</v>
      </c>
      <c r="B3">
        <v>78</v>
      </c>
      <c r="C3" s="158">
        <f>ABS(A3-B3)</f>
        <v>18</v>
      </c>
      <c r="D3" s="158">
        <f t="shared" ref="D3:D34" si="0">IF(AND(C3&gt;=E3,C3&lt;=F3),G3,IF(AND(C3&gt;=H3,C3&lt;=I3),J3,IF(AND(C3&gt;=K3,C3&lt;=L3),M3,P3)))</f>
        <v>0</v>
      </c>
      <c r="E3" s="159">
        <v>0</v>
      </c>
      <c r="F3" s="160">
        <v>3</v>
      </c>
      <c r="G3" s="161">
        <v>9</v>
      </c>
      <c r="H3" s="159">
        <v>4</v>
      </c>
      <c r="I3" s="162">
        <v>5</v>
      </c>
      <c r="J3" s="161">
        <v>7</v>
      </c>
      <c r="K3" s="188">
        <v>6</v>
      </c>
      <c r="L3" s="189">
        <v>7</v>
      </c>
      <c r="M3" s="177">
        <v>2</v>
      </c>
      <c r="N3" s="188">
        <v>7</v>
      </c>
      <c r="O3" s="189"/>
      <c r="P3" s="179">
        <v>0</v>
      </c>
      <c r="Q3" s="134"/>
      <c r="R3" s="134"/>
      <c r="S3" s="134"/>
      <c r="T3" s="134"/>
      <c r="V3" s="139"/>
      <c r="W3" s="139"/>
      <c r="X3" s="139"/>
      <c r="Y3" s="139"/>
    </row>
    <row r="4" spans="1:25" ht="16">
      <c r="A4">
        <v>58</v>
      </c>
      <c r="B4">
        <v>76</v>
      </c>
      <c r="C4" s="163">
        <f>ABS(A4-B4)</f>
        <v>18</v>
      </c>
      <c r="D4" s="163">
        <f t="shared" si="0"/>
        <v>0</v>
      </c>
      <c r="E4" s="135">
        <v>0</v>
      </c>
      <c r="F4" s="136">
        <v>2</v>
      </c>
      <c r="G4" s="137">
        <v>9</v>
      </c>
      <c r="H4" s="135">
        <v>3</v>
      </c>
      <c r="I4" s="138">
        <v>4</v>
      </c>
      <c r="J4" s="137">
        <v>7</v>
      </c>
      <c r="K4" s="184">
        <v>5</v>
      </c>
      <c r="L4" s="97">
        <v>6</v>
      </c>
      <c r="M4" s="115">
        <v>2</v>
      </c>
      <c r="N4" s="184">
        <v>7</v>
      </c>
      <c r="O4" s="97"/>
      <c r="P4" s="180">
        <v>0</v>
      </c>
      <c r="Q4" s="134"/>
      <c r="R4" s="134"/>
      <c r="S4" s="134"/>
      <c r="T4" s="134"/>
      <c r="V4" s="139"/>
      <c r="W4" s="139"/>
      <c r="X4" s="139"/>
      <c r="Y4" s="139"/>
    </row>
    <row r="5" spans="1:25" ht="16">
      <c r="A5">
        <v>57</v>
      </c>
      <c r="B5">
        <v>74</v>
      </c>
      <c r="C5" s="163">
        <f t="shared" ref="C5:C22" si="1">ABS(A5-B5)</f>
        <v>17</v>
      </c>
      <c r="D5" s="163">
        <f t="shared" si="0"/>
        <v>0</v>
      </c>
      <c r="E5" s="135">
        <v>0</v>
      </c>
      <c r="F5" s="136">
        <v>2</v>
      </c>
      <c r="G5" s="137">
        <v>9</v>
      </c>
      <c r="H5" s="135">
        <v>3</v>
      </c>
      <c r="I5" s="138">
        <v>4</v>
      </c>
      <c r="J5" s="137">
        <v>7</v>
      </c>
      <c r="K5" s="184">
        <v>5</v>
      </c>
      <c r="L5" s="97">
        <v>6</v>
      </c>
      <c r="M5" s="115">
        <v>2</v>
      </c>
      <c r="N5" s="184">
        <v>7</v>
      </c>
      <c r="O5" s="97"/>
      <c r="P5" s="180">
        <v>0</v>
      </c>
      <c r="Q5" s="134"/>
      <c r="R5" s="134"/>
      <c r="S5" s="134"/>
      <c r="T5" s="134"/>
      <c r="V5" s="139"/>
      <c r="W5" s="139"/>
      <c r="X5" s="139"/>
      <c r="Y5" s="139"/>
    </row>
    <row r="6" spans="1:25" ht="16">
      <c r="A6">
        <v>57</v>
      </c>
      <c r="B6">
        <v>73</v>
      </c>
      <c r="C6" s="163">
        <f t="shared" si="1"/>
        <v>16</v>
      </c>
      <c r="D6" s="163">
        <f t="shared" si="0"/>
        <v>0</v>
      </c>
      <c r="E6" s="135">
        <v>0</v>
      </c>
      <c r="F6" s="136">
        <v>2</v>
      </c>
      <c r="G6" s="137">
        <v>9</v>
      </c>
      <c r="H6" s="135">
        <v>3</v>
      </c>
      <c r="I6" s="138">
        <v>5</v>
      </c>
      <c r="J6" s="137">
        <v>7</v>
      </c>
      <c r="K6" s="184">
        <v>8</v>
      </c>
      <c r="L6" s="97">
        <v>12</v>
      </c>
      <c r="M6" s="115">
        <v>2</v>
      </c>
      <c r="N6" s="184">
        <v>13</v>
      </c>
      <c r="O6" s="97"/>
      <c r="P6" s="180">
        <v>0</v>
      </c>
      <c r="Q6" s="134"/>
      <c r="R6" s="134"/>
      <c r="S6" s="134"/>
      <c r="T6" s="134"/>
      <c r="V6" s="139"/>
      <c r="W6" s="139"/>
      <c r="X6" s="139"/>
      <c r="Y6" s="139"/>
    </row>
    <row r="7" spans="1:25" ht="16">
      <c r="A7">
        <v>56</v>
      </c>
      <c r="B7">
        <v>71</v>
      </c>
      <c r="C7" s="163">
        <f t="shared" si="1"/>
        <v>15</v>
      </c>
      <c r="D7" s="163">
        <f t="shared" si="0"/>
        <v>0</v>
      </c>
      <c r="E7" s="135">
        <v>0</v>
      </c>
      <c r="F7" s="136">
        <v>3</v>
      </c>
      <c r="G7" s="137">
        <v>9</v>
      </c>
      <c r="H7" s="135">
        <v>4</v>
      </c>
      <c r="I7" s="138">
        <v>5</v>
      </c>
      <c r="J7" s="137">
        <v>7</v>
      </c>
      <c r="K7" s="184">
        <v>6</v>
      </c>
      <c r="L7" s="97">
        <v>6</v>
      </c>
      <c r="M7" s="115">
        <v>2</v>
      </c>
      <c r="N7" s="184">
        <v>7</v>
      </c>
      <c r="O7" s="97"/>
      <c r="P7" s="180">
        <v>0</v>
      </c>
      <c r="Q7" s="134"/>
      <c r="R7" s="134"/>
      <c r="S7" s="134"/>
      <c r="T7" s="134"/>
      <c r="V7" s="139"/>
      <c r="W7" s="139"/>
      <c r="X7" s="139"/>
      <c r="Y7" s="139"/>
    </row>
    <row r="8" spans="1:25" ht="16">
      <c r="A8">
        <v>55</v>
      </c>
      <c r="B8">
        <v>68</v>
      </c>
      <c r="C8" s="163">
        <f t="shared" si="1"/>
        <v>13</v>
      </c>
      <c r="D8" s="163">
        <f t="shared" si="0"/>
        <v>0</v>
      </c>
      <c r="E8" s="135">
        <v>0</v>
      </c>
      <c r="F8" s="136">
        <v>3</v>
      </c>
      <c r="G8" s="137">
        <v>9</v>
      </c>
      <c r="H8" s="135">
        <v>4</v>
      </c>
      <c r="I8" s="116">
        <v>4</v>
      </c>
      <c r="J8" s="115">
        <v>7</v>
      </c>
      <c r="K8" s="184">
        <v>5</v>
      </c>
      <c r="L8" s="97">
        <v>5</v>
      </c>
      <c r="M8" s="115">
        <v>2</v>
      </c>
      <c r="N8" s="184">
        <v>6</v>
      </c>
      <c r="O8" s="97"/>
      <c r="P8" s="180">
        <v>0</v>
      </c>
      <c r="Q8" s="134"/>
      <c r="R8" s="134"/>
      <c r="S8" s="134"/>
      <c r="T8" s="134"/>
      <c r="V8" s="139"/>
      <c r="W8" s="139"/>
      <c r="X8" s="139"/>
      <c r="Y8" s="139"/>
    </row>
    <row r="9" spans="1:25" ht="16">
      <c r="A9">
        <v>54</v>
      </c>
      <c r="B9">
        <v>66</v>
      </c>
      <c r="C9" s="163">
        <f t="shared" si="1"/>
        <v>12</v>
      </c>
      <c r="D9" s="163">
        <f t="shared" si="0"/>
        <v>0</v>
      </c>
      <c r="E9" s="135">
        <v>0</v>
      </c>
      <c r="F9" s="136">
        <v>3</v>
      </c>
      <c r="G9" s="137">
        <v>9</v>
      </c>
      <c r="H9" s="135">
        <v>4</v>
      </c>
      <c r="I9" s="138">
        <v>5</v>
      </c>
      <c r="J9" s="115">
        <v>7</v>
      </c>
      <c r="K9" s="184">
        <v>6</v>
      </c>
      <c r="L9" s="97">
        <v>7</v>
      </c>
      <c r="M9" s="115">
        <v>2</v>
      </c>
      <c r="N9" s="184">
        <v>7</v>
      </c>
      <c r="O9" s="97"/>
      <c r="P9" s="180">
        <v>0</v>
      </c>
      <c r="Q9" s="134"/>
      <c r="R9" s="134"/>
      <c r="S9" s="134"/>
      <c r="T9" s="134"/>
      <c r="V9" s="139"/>
      <c r="W9" s="139"/>
      <c r="X9" s="139"/>
      <c r="Y9" s="139"/>
    </row>
    <row r="10" spans="1:25" ht="16">
      <c r="A10">
        <v>56</v>
      </c>
      <c r="B10">
        <v>70</v>
      </c>
      <c r="C10" s="163">
        <f t="shared" si="1"/>
        <v>14</v>
      </c>
      <c r="D10" s="163">
        <f t="shared" si="0"/>
        <v>0</v>
      </c>
      <c r="E10" s="135">
        <v>0</v>
      </c>
      <c r="F10" s="136">
        <v>2</v>
      </c>
      <c r="G10" s="137">
        <v>9</v>
      </c>
      <c r="H10" s="135">
        <v>3</v>
      </c>
      <c r="I10" s="138">
        <v>4</v>
      </c>
      <c r="J10" s="115">
        <v>5</v>
      </c>
      <c r="K10" s="184">
        <v>5</v>
      </c>
      <c r="L10" s="97">
        <v>5</v>
      </c>
      <c r="M10" s="115">
        <v>0</v>
      </c>
      <c r="N10" s="184">
        <v>5</v>
      </c>
      <c r="O10" s="97"/>
      <c r="P10" s="180">
        <v>0</v>
      </c>
      <c r="Q10" s="134"/>
      <c r="R10" s="134"/>
      <c r="S10" s="134"/>
      <c r="T10" s="134"/>
      <c r="V10" s="139"/>
      <c r="W10" s="139"/>
      <c r="X10" s="139"/>
      <c r="Y10" s="139"/>
    </row>
    <row r="11" spans="1:25" ht="16">
      <c r="A11">
        <v>57</v>
      </c>
      <c r="B11">
        <v>72</v>
      </c>
      <c r="C11" s="163">
        <f t="shared" si="1"/>
        <v>15</v>
      </c>
      <c r="D11" s="163">
        <f t="shared" si="0"/>
        <v>0</v>
      </c>
      <c r="E11" s="135">
        <v>0</v>
      </c>
      <c r="F11" s="136">
        <v>2</v>
      </c>
      <c r="G11" s="137">
        <v>9</v>
      </c>
      <c r="H11" s="135">
        <v>3</v>
      </c>
      <c r="I11" s="138">
        <v>4</v>
      </c>
      <c r="J11" s="115">
        <v>5</v>
      </c>
      <c r="K11" s="184">
        <v>5</v>
      </c>
      <c r="L11" s="97">
        <v>5</v>
      </c>
      <c r="M11" s="115">
        <v>0</v>
      </c>
      <c r="N11" s="184">
        <v>5</v>
      </c>
      <c r="O11" s="97"/>
      <c r="P11" s="180">
        <v>0</v>
      </c>
      <c r="Q11" s="134"/>
      <c r="R11" s="134"/>
      <c r="S11" s="134"/>
      <c r="T11" s="134"/>
      <c r="V11" s="139"/>
      <c r="W11" s="139"/>
      <c r="X11" s="139"/>
      <c r="Y11" s="139"/>
    </row>
    <row r="12" spans="1:25" ht="16">
      <c r="A12">
        <v>58</v>
      </c>
      <c r="B12">
        <v>74</v>
      </c>
      <c r="C12" s="163">
        <f t="shared" si="1"/>
        <v>16</v>
      </c>
      <c r="D12" s="163">
        <f t="shared" si="0"/>
        <v>0</v>
      </c>
      <c r="E12" s="135">
        <v>0</v>
      </c>
      <c r="F12" s="136">
        <v>3</v>
      </c>
      <c r="G12" s="137">
        <v>9</v>
      </c>
      <c r="H12" s="135">
        <v>4</v>
      </c>
      <c r="I12" s="138">
        <v>6</v>
      </c>
      <c r="J12" s="115">
        <v>5</v>
      </c>
      <c r="K12" s="184">
        <v>7</v>
      </c>
      <c r="L12" s="97">
        <v>7</v>
      </c>
      <c r="M12" s="115">
        <v>0</v>
      </c>
      <c r="N12" s="184">
        <v>7</v>
      </c>
      <c r="O12" s="97"/>
      <c r="P12" s="180">
        <v>0</v>
      </c>
      <c r="Q12" s="134"/>
      <c r="R12" s="134"/>
      <c r="S12" s="134"/>
      <c r="T12" s="134"/>
      <c r="V12" s="139"/>
      <c r="W12" s="139"/>
      <c r="X12" s="139"/>
      <c r="Y12" s="139"/>
    </row>
    <row r="13" spans="1:25" ht="16">
      <c r="A13">
        <v>58</v>
      </c>
      <c r="B13">
        <v>76</v>
      </c>
      <c r="C13" s="163">
        <f t="shared" si="1"/>
        <v>18</v>
      </c>
      <c r="D13" s="163">
        <f t="shared" si="0"/>
        <v>0</v>
      </c>
      <c r="E13" s="135">
        <v>0</v>
      </c>
      <c r="F13" s="136">
        <v>2</v>
      </c>
      <c r="G13" s="137">
        <v>9</v>
      </c>
      <c r="H13" s="135">
        <v>3</v>
      </c>
      <c r="I13" s="138">
        <v>4</v>
      </c>
      <c r="J13" s="137">
        <v>7</v>
      </c>
      <c r="K13" s="184">
        <v>5</v>
      </c>
      <c r="L13" s="97">
        <v>6</v>
      </c>
      <c r="M13" s="115">
        <v>2</v>
      </c>
      <c r="N13" s="184">
        <v>7</v>
      </c>
      <c r="O13" s="97"/>
      <c r="P13" s="180">
        <v>0</v>
      </c>
      <c r="Q13" s="134"/>
      <c r="R13" s="134"/>
      <c r="S13" s="134"/>
      <c r="T13" s="134"/>
      <c r="V13" s="139"/>
      <c r="W13" s="139"/>
      <c r="X13" s="139"/>
      <c r="Y13" s="139"/>
    </row>
    <row r="14" spans="1:25" ht="16">
      <c r="A14">
        <v>59</v>
      </c>
      <c r="B14">
        <v>77</v>
      </c>
      <c r="C14" s="163">
        <f t="shared" si="1"/>
        <v>18</v>
      </c>
      <c r="D14" s="163">
        <f t="shared" si="0"/>
        <v>0</v>
      </c>
      <c r="E14" s="135">
        <v>0</v>
      </c>
      <c r="F14" s="136">
        <v>2</v>
      </c>
      <c r="G14" s="137">
        <v>9</v>
      </c>
      <c r="H14" s="135">
        <v>3</v>
      </c>
      <c r="I14" s="138">
        <v>4</v>
      </c>
      <c r="J14" s="137">
        <v>7</v>
      </c>
      <c r="K14" s="184">
        <v>5</v>
      </c>
      <c r="L14" s="97">
        <v>6</v>
      </c>
      <c r="M14" s="115">
        <v>2</v>
      </c>
      <c r="N14" s="184">
        <v>7</v>
      </c>
      <c r="O14" s="97"/>
      <c r="P14" s="180">
        <v>0</v>
      </c>
      <c r="Q14" s="134"/>
      <c r="R14" s="134"/>
      <c r="S14" s="134"/>
      <c r="T14" s="134"/>
      <c r="V14" s="139"/>
      <c r="W14" s="139"/>
      <c r="X14" s="139"/>
      <c r="Y14" s="139"/>
    </row>
    <row r="15" spans="1:25" ht="16">
      <c r="A15">
        <v>59</v>
      </c>
      <c r="B15">
        <v>78</v>
      </c>
      <c r="C15" s="163">
        <f t="shared" si="1"/>
        <v>19</v>
      </c>
      <c r="D15" s="163">
        <f t="shared" si="0"/>
        <v>0</v>
      </c>
      <c r="E15" s="135">
        <v>0</v>
      </c>
      <c r="F15" s="136">
        <v>2</v>
      </c>
      <c r="G15" s="137">
        <v>9</v>
      </c>
      <c r="H15" s="135">
        <v>5</v>
      </c>
      <c r="I15" s="138">
        <v>7</v>
      </c>
      <c r="J15" s="137">
        <v>5</v>
      </c>
      <c r="K15" s="184">
        <v>7</v>
      </c>
      <c r="L15" s="97">
        <v>7</v>
      </c>
      <c r="M15" s="115">
        <v>0</v>
      </c>
      <c r="N15" s="184">
        <v>7</v>
      </c>
      <c r="O15" s="97"/>
      <c r="P15" s="180">
        <v>0</v>
      </c>
      <c r="Q15" s="134"/>
      <c r="R15" s="134"/>
      <c r="S15" s="134"/>
      <c r="T15" s="134"/>
      <c r="V15" s="139"/>
      <c r="W15" s="139"/>
      <c r="X15" s="139"/>
      <c r="Y15" s="139"/>
    </row>
    <row r="16" spans="1:25" ht="16">
      <c r="A16">
        <v>58</v>
      </c>
      <c r="B16">
        <v>74</v>
      </c>
      <c r="C16" s="163">
        <f t="shared" si="1"/>
        <v>16</v>
      </c>
      <c r="D16" s="163">
        <f t="shared" si="0"/>
        <v>0</v>
      </c>
      <c r="E16" s="135">
        <v>0</v>
      </c>
      <c r="F16" s="136">
        <v>2</v>
      </c>
      <c r="G16" s="137">
        <v>9</v>
      </c>
      <c r="H16" s="135">
        <v>5</v>
      </c>
      <c r="I16" s="138">
        <v>7</v>
      </c>
      <c r="J16" s="137">
        <v>5</v>
      </c>
      <c r="K16" s="184">
        <v>7</v>
      </c>
      <c r="L16" s="97">
        <v>7</v>
      </c>
      <c r="M16" s="115">
        <v>0</v>
      </c>
      <c r="N16" s="184">
        <v>7</v>
      </c>
      <c r="O16" s="97"/>
      <c r="P16" s="180">
        <v>0</v>
      </c>
      <c r="Q16" s="134"/>
      <c r="R16" s="134"/>
      <c r="S16" s="134"/>
      <c r="T16" s="134"/>
      <c r="V16" s="139"/>
      <c r="W16" s="139"/>
      <c r="X16" s="139"/>
      <c r="Y16" s="139"/>
    </row>
    <row r="17" spans="1:25" ht="16">
      <c r="A17">
        <v>57</v>
      </c>
      <c r="B17">
        <v>73</v>
      </c>
      <c r="C17" s="163">
        <f t="shared" si="1"/>
        <v>16</v>
      </c>
      <c r="D17" s="163">
        <f t="shared" si="0"/>
        <v>0</v>
      </c>
      <c r="E17" s="135">
        <v>0</v>
      </c>
      <c r="F17" s="136">
        <v>2</v>
      </c>
      <c r="G17" s="137">
        <v>9</v>
      </c>
      <c r="H17" s="135">
        <v>5</v>
      </c>
      <c r="I17" s="138">
        <v>7</v>
      </c>
      <c r="J17" s="137">
        <v>5</v>
      </c>
      <c r="K17" s="184">
        <v>7</v>
      </c>
      <c r="L17" s="97">
        <v>7</v>
      </c>
      <c r="M17" s="115">
        <v>0</v>
      </c>
      <c r="N17" s="184">
        <v>7</v>
      </c>
      <c r="O17" s="97"/>
      <c r="P17" s="180">
        <v>0</v>
      </c>
      <c r="Q17" s="134"/>
      <c r="R17" s="134"/>
      <c r="S17" s="134"/>
      <c r="T17" s="134"/>
      <c r="V17" s="139"/>
      <c r="W17" s="139"/>
      <c r="X17" s="139"/>
      <c r="Y17" s="139"/>
    </row>
    <row r="18" spans="1:25" ht="17" thickBot="1">
      <c r="A18">
        <v>56</v>
      </c>
      <c r="B18">
        <v>71</v>
      </c>
      <c r="C18" s="163">
        <f t="shared" si="1"/>
        <v>15</v>
      </c>
      <c r="D18" s="163">
        <f t="shared" si="0"/>
        <v>0</v>
      </c>
      <c r="E18" s="135">
        <v>0</v>
      </c>
      <c r="F18" s="136">
        <v>3</v>
      </c>
      <c r="G18" s="137">
        <v>9</v>
      </c>
      <c r="H18" s="135">
        <v>4</v>
      </c>
      <c r="I18" s="138">
        <v>5</v>
      </c>
      <c r="J18" s="115">
        <v>7</v>
      </c>
      <c r="K18" s="184">
        <v>6</v>
      </c>
      <c r="L18" s="97">
        <v>6</v>
      </c>
      <c r="M18" s="115">
        <v>2</v>
      </c>
      <c r="N18" s="184">
        <v>7</v>
      </c>
      <c r="O18" s="97"/>
      <c r="P18" s="180">
        <v>0</v>
      </c>
      <c r="Q18" s="134"/>
      <c r="R18" s="134"/>
      <c r="S18" s="134"/>
      <c r="T18" s="134"/>
      <c r="V18" s="139"/>
      <c r="W18" s="139"/>
      <c r="X18" s="139"/>
      <c r="Y18" s="139"/>
    </row>
    <row r="19" spans="1:25" ht="17" thickBot="1">
      <c r="A19">
        <v>55</v>
      </c>
      <c r="B19">
        <v>67</v>
      </c>
      <c r="C19" s="163">
        <f t="shared" si="1"/>
        <v>12</v>
      </c>
      <c r="D19" s="163">
        <f t="shared" si="0"/>
        <v>0</v>
      </c>
      <c r="E19" s="135">
        <v>0</v>
      </c>
      <c r="F19" s="136">
        <v>2</v>
      </c>
      <c r="G19" s="137">
        <v>9</v>
      </c>
      <c r="H19" s="135">
        <v>3</v>
      </c>
      <c r="I19" s="138">
        <v>4</v>
      </c>
      <c r="J19" s="115">
        <v>5</v>
      </c>
      <c r="K19" s="184">
        <v>5</v>
      </c>
      <c r="L19" s="97">
        <v>5</v>
      </c>
      <c r="M19" s="115">
        <v>0</v>
      </c>
      <c r="N19" s="184">
        <v>5</v>
      </c>
      <c r="O19" s="97"/>
      <c r="P19" s="180">
        <v>0</v>
      </c>
      <c r="Q19" s="155" t="s">
        <v>350</v>
      </c>
      <c r="R19" s="145" t="s">
        <v>348</v>
      </c>
      <c r="S19" s="145">
        <f>SUM(D3:D22)</f>
        <v>0</v>
      </c>
      <c r="T19" s="146"/>
      <c r="V19" s="139"/>
      <c r="W19" s="139"/>
      <c r="X19" s="139"/>
      <c r="Y19" s="139"/>
    </row>
    <row r="20" spans="1:25" ht="17" thickTop="1">
      <c r="A20">
        <v>56</v>
      </c>
      <c r="B20">
        <v>72</v>
      </c>
      <c r="C20" s="163">
        <f t="shared" si="1"/>
        <v>16</v>
      </c>
      <c r="D20" s="163">
        <f t="shared" si="0"/>
        <v>0</v>
      </c>
      <c r="E20" s="135">
        <v>0</v>
      </c>
      <c r="F20" s="136">
        <v>2</v>
      </c>
      <c r="G20" s="137">
        <v>9</v>
      </c>
      <c r="H20" s="135">
        <v>3</v>
      </c>
      <c r="I20" s="138">
        <v>4</v>
      </c>
      <c r="J20" s="115">
        <v>5</v>
      </c>
      <c r="K20" s="184">
        <v>5</v>
      </c>
      <c r="L20" s="97">
        <v>5</v>
      </c>
      <c r="M20" s="115">
        <v>0</v>
      </c>
      <c r="N20" s="184">
        <v>5</v>
      </c>
      <c r="O20" s="97"/>
      <c r="P20" s="180">
        <v>0</v>
      </c>
      <c r="Q20" s="118"/>
      <c r="R20" s="118" t="s">
        <v>349</v>
      </c>
      <c r="S20" s="118">
        <f>SUM(Q22:T22)</f>
        <v>0</v>
      </c>
      <c r="T20" s="144"/>
      <c r="V20" s="139"/>
      <c r="W20" s="139"/>
      <c r="X20" s="139"/>
      <c r="Y20" s="139"/>
    </row>
    <row r="21" spans="1:25" ht="16">
      <c r="A21">
        <v>57</v>
      </c>
      <c r="B21">
        <v>74</v>
      </c>
      <c r="C21" s="163">
        <f t="shared" si="1"/>
        <v>17</v>
      </c>
      <c r="D21" s="163">
        <f t="shared" si="0"/>
        <v>0</v>
      </c>
      <c r="E21" s="135">
        <v>0</v>
      </c>
      <c r="F21" s="136">
        <v>2</v>
      </c>
      <c r="G21" s="137">
        <v>9</v>
      </c>
      <c r="H21" s="135">
        <v>3</v>
      </c>
      <c r="I21" s="138">
        <v>4</v>
      </c>
      <c r="J21" s="115">
        <v>5</v>
      </c>
      <c r="K21" s="184">
        <v>5</v>
      </c>
      <c r="L21" s="97">
        <v>5</v>
      </c>
      <c r="M21" s="115">
        <v>0</v>
      </c>
      <c r="N21" s="184">
        <v>5</v>
      </c>
      <c r="O21" s="97"/>
      <c r="P21" s="180">
        <v>0</v>
      </c>
      <c r="Q21" s="140" t="s">
        <v>178</v>
      </c>
      <c r="R21" s="140" t="s">
        <v>179</v>
      </c>
      <c r="S21" s="140" t="s">
        <v>180</v>
      </c>
      <c r="T21" s="141" t="s">
        <v>181</v>
      </c>
      <c r="V21" s="139"/>
      <c r="W21" s="139"/>
      <c r="X21" s="139"/>
      <c r="Y21" s="139"/>
    </row>
    <row r="22" spans="1:25" ht="17" thickBot="1">
      <c r="A22">
        <v>58</v>
      </c>
      <c r="B22">
        <v>75</v>
      </c>
      <c r="C22" s="147">
        <f t="shared" si="1"/>
        <v>17</v>
      </c>
      <c r="D22" s="147">
        <f t="shared" si="0"/>
        <v>0</v>
      </c>
      <c r="E22" s="190">
        <v>0</v>
      </c>
      <c r="F22" s="149">
        <v>2</v>
      </c>
      <c r="G22" s="150">
        <v>9</v>
      </c>
      <c r="H22" s="148">
        <v>3</v>
      </c>
      <c r="I22" s="151">
        <v>4</v>
      </c>
      <c r="J22" s="150">
        <v>7</v>
      </c>
      <c r="K22" s="190">
        <v>5</v>
      </c>
      <c r="L22" s="191">
        <v>6</v>
      </c>
      <c r="M22" s="178">
        <v>2</v>
      </c>
      <c r="N22" s="190">
        <v>7</v>
      </c>
      <c r="O22" s="191"/>
      <c r="P22" s="181">
        <v>0</v>
      </c>
      <c r="Q22" s="142">
        <f>IF(AND(S19&lt;=180,S19&gt;=160),9,0)</f>
        <v>0</v>
      </c>
      <c r="R22" s="142">
        <f>IF(AND(S19&lt;=159,S19&gt;=150),8,0)</f>
        <v>0</v>
      </c>
      <c r="S22" s="142">
        <f>IF(AND(S19&lt;=149,S19&gt;=139),7,0)</f>
        <v>0</v>
      </c>
      <c r="T22" s="143">
        <f>IF(AND(S19&lt;=138,S19&gt;=50),2,0)</f>
        <v>0</v>
      </c>
      <c r="V22" s="139"/>
      <c r="W22" s="139"/>
      <c r="X22" s="139"/>
      <c r="Y22" s="139"/>
    </row>
    <row r="23" spans="1:25" ht="18" thickTop="1" thickBot="1">
      <c r="A23">
        <v>59</v>
      </c>
      <c r="B23">
        <v>79</v>
      </c>
      <c r="C23" s="163">
        <f t="shared" ref="C23" si="2">ABS(A23-B23)</f>
        <v>20</v>
      </c>
      <c r="D23" s="163">
        <f t="shared" si="0"/>
        <v>0</v>
      </c>
      <c r="E23" s="135">
        <v>0</v>
      </c>
      <c r="F23" s="167">
        <v>2</v>
      </c>
      <c r="G23" s="174">
        <v>9</v>
      </c>
      <c r="H23" s="192">
        <v>3</v>
      </c>
      <c r="I23" s="186">
        <v>4</v>
      </c>
      <c r="J23" s="174">
        <v>7</v>
      </c>
      <c r="K23" s="192">
        <v>5</v>
      </c>
      <c r="L23" s="167">
        <v>6</v>
      </c>
      <c r="M23" s="174">
        <v>2</v>
      </c>
      <c r="N23" s="192">
        <v>7</v>
      </c>
      <c r="O23" s="167"/>
      <c r="P23" s="182">
        <v>0</v>
      </c>
      <c r="Q23" s="134"/>
      <c r="R23" s="134"/>
      <c r="S23" s="134"/>
      <c r="T23" s="134"/>
      <c r="V23" s="111"/>
      <c r="W23" s="111"/>
      <c r="X23" s="111"/>
      <c r="Y23" s="111"/>
    </row>
    <row r="24" spans="1:25" ht="17" thickBot="1">
      <c r="A24">
        <v>57</v>
      </c>
      <c r="B24">
        <v>77</v>
      </c>
      <c r="C24" s="163">
        <f t="shared" ref="C24" si="3">ABS(A24-B24)</f>
        <v>20</v>
      </c>
      <c r="D24" s="163">
        <f t="shared" si="0"/>
        <v>0</v>
      </c>
      <c r="E24" s="135">
        <v>0</v>
      </c>
      <c r="F24" s="97">
        <v>2</v>
      </c>
      <c r="G24" s="115">
        <v>9</v>
      </c>
      <c r="H24" s="184">
        <v>3</v>
      </c>
      <c r="I24" s="116">
        <v>4</v>
      </c>
      <c r="J24" s="115">
        <v>7</v>
      </c>
      <c r="K24" s="184">
        <v>5</v>
      </c>
      <c r="L24" s="97">
        <v>7</v>
      </c>
      <c r="M24" s="115">
        <v>2</v>
      </c>
      <c r="N24" s="184">
        <v>8</v>
      </c>
      <c r="O24" s="97"/>
      <c r="P24" s="180">
        <v>0</v>
      </c>
      <c r="Q24" s="155" t="s">
        <v>183</v>
      </c>
      <c r="R24" s="145" t="s">
        <v>348</v>
      </c>
      <c r="S24" s="145">
        <f>SUM(D23:D27)</f>
        <v>0</v>
      </c>
      <c r="T24" s="146"/>
      <c r="V24" s="111"/>
      <c r="W24" s="111"/>
      <c r="X24" s="111"/>
      <c r="Y24" s="111"/>
    </row>
    <row r="25" spans="1:25" ht="17" thickTop="1">
      <c r="A25">
        <v>55</v>
      </c>
      <c r="B25">
        <v>74</v>
      </c>
      <c r="C25" s="163">
        <f t="shared" ref="C25:C27" si="4">ABS(A25-B25)</f>
        <v>19</v>
      </c>
      <c r="D25" s="163">
        <f t="shared" si="0"/>
        <v>0</v>
      </c>
      <c r="E25" s="135">
        <v>0</v>
      </c>
      <c r="F25" s="97">
        <v>6</v>
      </c>
      <c r="G25" s="115">
        <v>9</v>
      </c>
      <c r="H25" s="184">
        <v>7</v>
      </c>
      <c r="I25" s="116">
        <v>9</v>
      </c>
      <c r="J25" s="115">
        <v>7</v>
      </c>
      <c r="K25" s="184">
        <v>10</v>
      </c>
      <c r="L25" s="97">
        <v>12</v>
      </c>
      <c r="M25" s="115">
        <v>2</v>
      </c>
      <c r="N25" s="184">
        <v>13</v>
      </c>
      <c r="O25" s="97"/>
      <c r="P25" s="180">
        <v>0</v>
      </c>
      <c r="Q25" s="118"/>
      <c r="R25" s="118" t="s">
        <v>349</v>
      </c>
      <c r="S25" s="118">
        <f>SUM(Q27:T27)</f>
        <v>0</v>
      </c>
      <c r="T25" s="144"/>
      <c r="V25" s="111"/>
      <c r="W25" s="111"/>
      <c r="X25" s="111"/>
      <c r="Y25" s="111"/>
    </row>
    <row r="26" spans="1:25" ht="16">
      <c r="A26">
        <v>54</v>
      </c>
      <c r="B26">
        <v>71</v>
      </c>
      <c r="C26" s="163">
        <f t="shared" si="4"/>
        <v>17</v>
      </c>
      <c r="D26" s="163">
        <f t="shared" si="0"/>
        <v>0</v>
      </c>
      <c r="E26" s="135">
        <v>0</v>
      </c>
      <c r="F26" s="97">
        <v>6</v>
      </c>
      <c r="G26" s="115">
        <v>9</v>
      </c>
      <c r="H26" s="184">
        <v>7</v>
      </c>
      <c r="I26" s="116">
        <v>13</v>
      </c>
      <c r="J26" s="115">
        <v>7</v>
      </c>
      <c r="K26" s="184">
        <v>14</v>
      </c>
      <c r="L26" s="97">
        <v>16</v>
      </c>
      <c r="M26" s="115">
        <v>2</v>
      </c>
      <c r="N26" s="184">
        <v>17</v>
      </c>
      <c r="O26" s="97"/>
      <c r="P26" s="180">
        <v>0</v>
      </c>
      <c r="Q26" s="140" t="s">
        <v>206</v>
      </c>
      <c r="R26" s="140" t="s">
        <v>207</v>
      </c>
      <c r="S26" s="140" t="s">
        <v>208</v>
      </c>
      <c r="T26" s="141" t="s">
        <v>209</v>
      </c>
      <c r="V26" s="111"/>
      <c r="W26" s="111"/>
      <c r="X26" s="111"/>
      <c r="Y26" s="111"/>
    </row>
    <row r="27" spans="1:25" ht="17" thickBot="1">
      <c r="A27">
        <v>53</v>
      </c>
      <c r="B27">
        <v>69</v>
      </c>
      <c r="C27" s="147">
        <f t="shared" si="4"/>
        <v>16</v>
      </c>
      <c r="D27" s="147">
        <f t="shared" si="0"/>
        <v>0</v>
      </c>
      <c r="E27" s="190">
        <v>0</v>
      </c>
      <c r="F27" s="149">
        <v>7</v>
      </c>
      <c r="G27" s="150">
        <v>9</v>
      </c>
      <c r="H27" s="148">
        <v>8</v>
      </c>
      <c r="I27" s="151">
        <v>9</v>
      </c>
      <c r="J27" s="150">
        <v>7</v>
      </c>
      <c r="K27" s="190">
        <v>10</v>
      </c>
      <c r="L27" s="191">
        <v>14</v>
      </c>
      <c r="M27" s="178">
        <v>2</v>
      </c>
      <c r="N27" s="190">
        <v>15</v>
      </c>
      <c r="O27" s="191"/>
      <c r="P27" s="181">
        <v>0</v>
      </c>
      <c r="Q27" s="142">
        <f>IF(AND(S24&lt;=45,S24&gt;=40),9,0)</f>
        <v>0</v>
      </c>
      <c r="R27" s="142">
        <f>IF(AND(S24&lt;=39,S24&gt;=30),7,0)</f>
        <v>0</v>
      </c>
      <c r="S27" s="142">
        <f>IF(AND(S24&lt;=29,S24&gt;=10),2,0)</f>
        <v>0</v>
      </c>
      <c r="T27" s="143">
        <f>IF(AND(S24&lt;=9,S24&gt;=0),0,0)</f>
        <v>0</v>
      </c>
      <c r="V27" s="111"/>
      <c r="W27" s="111"/>
      <c r="X27" s="111"/>
      <c r="Y27" s="111"/>
    </row>
    <row r="28" spans="1:25" ht="18" thickTop="1" thickBot="1">
      <c r="A28">
        <v>51</v>
      </c>
      <c r="B28">
        <v>63</v>
      </c>
      <c r="C28" s="163">
        <f t="shared" ref="C28" si="5">ABS(A28-B28)</f>
        <v>12</v>
      </c>
      <c r="D28" s="163">
        <f t="shared" si="0"/>
        <v>2</v>
      </c>
      <c r="E28" s="135">
        <v>0</v>
      </c>
      <c r="F28" s="97">
        <v>7</v>
      </c>
      <c r="G28" s="115">
        <v>9</v>
      </c>
      <c r="H28" s="184">
        <v>8</v>
      </c>
      <c r="I28" s="116">
        <v>9</v>
      </c>
      <c r="J28" s="115">
        <v>7</v>
      </c>
      <c r="K28" s="184">
        <v>10</v>
      </c>
      <c r="L28" s="97">
        <v>12</v>
      </c>
      <c r="M28" s="115">
        <v>2</v>
      </c>
      <c r="N28" s="184">
        <v>13</v>
      </c>
      <c r="O28" s="97"/>
      <c r="P28" s="180">
        <v>0</v>
      </c>
      <c r="Q28" s="134"/>
      <c r="R28" s="134"/>
      <c r="S28" s="134"/>
      <c r="T28" s="134"/>
      <c r="V28" s="111"/>
      <c r="W28" s="111"/>
      <c r="X28" s="111"/>
      <c r="Y28" s="111"/>
    </row>
    <row r="29" spans="1:25" ht="17" thickBot="1">
      <c r="A29">
        <v>50</v>
      </c>
      <c r="B29">
        <v>60</v>
      </c>
      <c r="C29" s="163">
        <f t="shared" ref="C29:C32" si="6">ABS(A29-B29)</f>
        <v>10</v>
      </c>
      <c r="D29" s="163">
        <f t="shared" si="0"/>
        <v>7</v>
      </c>
      <c r="E29" s="135">
        <v>0</v>
      </c>
      <c r="F29" s="97">
        <v>7</v>
      </c>
      <c r="G29" s="115">
        <v>9</v>
      </c>
      <c r="H29" s="184">
        <v>8</v>
      </c>
      <c r="I29" s="116">
        <v>13</v>
      </c>
      <c r="J29" s="115">
        <v>7</v>
      </c>
      <c r="K29" s="184">
        <v>14</v>
      </c>
      <c r="L29" s="97">
        <v>17</v>
      </c>
      <c r="M29" s="115">
        <v>2</v>
      </c>
      <c r="N29" s="184">
        <v>18</v>
      </c>
      <c r="O29" s="97"/>
      <c r="P29" s="180">
        <v>0</v>
      </c>
      <c r="Q29" s="155"/>
      <c r="R29" s="145" t="s">
        <v>348</v>
      </c>
      <c r="S29" s="145">
        <f>SUM(D28:D32)</f>
        <v>30</v>
      </c>
      <c r="T29" s="146"/>
      <c r="V29" s="111"/>
      <c r="W29" s="111"/>
      <c r="X29" s="111"/>
      <c r="Y29" s="111"/>
    </row>
    <row r="30" spans="1:25" ht="17" thickTop="1">
      <c r="A30">
        <v>48</v>
      </c>
      <c r="B30">
        <v>57</v>
      </c>
      <c r="C30" s="163">
        <f t="shared" si="6"/>
        <v>9</v>
      </c>
      <c r="D30" s="163">
        <f t="shared" si="0"/>
        <v>7</v>
      </c>
      <c r="E30" s="135">
        <v>0</v>
      </c>
      <c r="F30" s="97">
        <v>7</v>
      </c>
      <c r="G30" s="115">
        <v>9</v>
      </c>
      <c r="H30" s="184">
        <v>8</v>
      </c>
      <c r="I30" s="116">
        <v>13</v>
      </c>
      <c r="J30" s="115">
        <v>7</v>
      </c>
      <c r="K30" s="184">
        <v>14</v>
      </c>
      <c r="L30" s="97">
        <v>17</v>
      </c>
      <c r="M30" s="115">
        <v>2</v>
      </c>
      <c r="N30" s="184">
        <v>18</v>
      </c>
      <c r="O30" s="97"/>
      <c r="P30" s="180">
        <v>0</v>
      </c>
      <c r="Q30" s="118" t="s">
        <v>353</v>
      </c>
      <c r="R30" s="118" t="s">
        <v>349</v>
      </c>
      <c r="S30" s="118">
        <f>SUM(Q32:T32)</f>
        <v>7</v>
      </c>
      <c r="T30" s="144"/>
      <c r="V30" s="111"/>
      <c r="W30" s="111"/>
      <c r="X30" s="111"/>
      <c r="Y30" s="111"/>
    </row>
    <row r="31" spans="1:25" ht="16">
      <c r="A31">
        <v>47</v>
      </c>
      <c r="B31">
        <v>55</v>
      </c>
      <c r="C31" s="163">
        <f t="shared" si="6"/>
        <v>8</v>
      </c>
      <c r="D31" s="163">
        <f t="shared" si="0"/>
        <v>7</v>
      </c>
      <c r="E31" s="135">
        <v>0</v>
      </c>
      <c r="F31" s="97">
        <v>7</v>
      </c>
      <c r="G31" s="115">
        <v>9</v>
      </c>
      <c r="H31" s="184">
        <v>8</v>
      </c>
      <c r="I31" s="116">
        <v>13</v>
      </c>
      <c r="J31" s="115">
        <v>7</v>
      </c>
      <c r="K31" s="184">
        <v>14</v>
      </c>
      <c r="L31" s="97">
        <v>17</v>
      </c>
      <c r="M31" s="115">
        <v>2</v>
      </c>
      <c r="N31" s="184">
        <v>18</v>
      </c>
      <c r="O31" s="97"/>
      <c r="P31" s="180">
        <v>0</v>
      </c>
      <c r="Q31" s="140" t="s">
        <v>206</v>
      </c>
      <c r="R31" s="140" t="s">
        <v>207</v>
      </c>
      <c r="S31" s="140" t="s">
        <v>208</v>
      </c>
      <c r="T31" s="141" t="s">
        <v>209</v>
      </c>
      <c r="V31" s="111"/>
      <c r="W31" s="111"/>
      <c r="X31" s="111"/>
      <c r="Y31" s="111"/>
    </row>
    <row r="32" spans="1:25" ht="17" thickBot="1">
      <c r="A32">
        <v>47</v>
      </c>
      <c r="B32">
        <v>54</v>
      </c>
      <c r="C32" s="147">
        <f t="shared" si="6"/>
        <v>7</v>
      </c>
      <c r="D32" s="147">
        <f t="shared" si="0"/>
        <v>7</v>
      </c>
      <c r="E32" s="190">
        <v>0</v>
      </c>
      <c r="F32" s="149">
        <v>6</v>
      </c>
      <c r="G32" s="150">
        <v>9</v>
      </c>
      <c r="H32" s="148">
        <v>7</v>
      </c>
      <c r="I32" s="151">
        <v>9</v>
      </c>
      <c r="J32" s="150">
        <v>7</v>
      </c>
      <c r="K32" s="190">
        <v>10</v>
      </c>
      <c r="L32" s="191">
        <v>13</v>
      </c>
      <c r="M32" s="178">
        <v>2</v>
      </c>
      <c r="N32" s="190">
        <v>14</v>
      </c>
      <c r="O32" s="191"/>
      <c r="P32" s="181">
        <v>0</v>
      </c>
      <c r="Q32" s="142">
        <f>IF(AND(S29&lt;=45,S29&gt;=40),9,0)</f>
        <v>0</v>
      </c>
      <c r="R32" s="142">
        <f>IF(AND(S29&lt;=39,S29&gt;=30),7,0)</f>
        <v>7</v>
      </c>
      <c r="S32" s="142">
        <f>IF(AND(S29&lt;=29,S29&gt;=10),2,0)</f>
        <v>0</v>
      </c>
      <c r="T32" s="143">
        <f>IF(AND(S29&lt;=9,S29&gt;=0),0,0)</f>
        <v>0</v>
      </c>
      <c r="V32" s="111"/>
      <c r="W32" s="111"/>
      <c r="X32" s="111"/>
      <c r="Y32" s="111"/>
    </row>
    <row r="33" spans="1:25" ht="17" thickTop="1">
      <c r="A33">
        <v>57</v>
      </c>
      <c r="B33">
        <v>77</v>
      </c>
      <c r="C33" s="163">
        <f t="shared" ref="C33" si="7">ABS(A33-B33)</f>
        <v>20</v>
      </c>
      <c r="D33" s="163">
        <f t="shared" si="0"/>
        <v>0</v>
      </c>
      <c r="E33" s="135">
        <v>0</v>
      </c>
      <c r="F33" s="97">
        <v>2</v>
      </c>
      <c r="G33" s="115">
        <v>9</v>
      </c>
      <c r="H33" s="184">
        <v>3</v>
      </c>
      <c r="I33" s="116">
        <v>4</v>
      </c>
      <c r="J33" s="115">
        <v>7</v>
      </c>
      <c r="K33" s="184">
        <v>5</v>
      </c>
      <c r="L33" s="97">
        <v>6</v>
      </c>
      <c r="M33" s="115">
        <v>2</v>
      </c>
      <c r="N33" s="184">
        <v>7</v>
      </c>
      <c r="O33" s="97"/>
      <c r="P33" s="180">
        <v>0</v>
      </c>
      <c r="Q33" s="134"/>
      <c r="R33" s="134"/>
      <c r="S33" s="134"/>
      <c r="T33" s="134"/>
      <c r="V33" s="111"/>
      <c r="W33" s="111"/>
      <c r="X33" s="111"/>
      <c r="Y33" s="111"/>
    </row>
    <row r="34" spans="1:25" ht="17" thickBot="1">
      <c r="A34">
        <v>56</v>
      </c>
      <c r="B34">
        <v>75</v>
      </c>
      <c r="C34" s="163">
        <f t="shared" ref="C34" si="8">ABS(A34-B34)</f>
        <v>19</v>
      </c>
      <c r="D34" s="163">
        <f t="shared" si="0"/>
        <v>0</v>
      </c>
      <c r="E34" s="135">
        <v>0</v>
      </c>
      <c r="F34" s="97">
        <v>3</v>
      </c>
      <c r="G34" s="115">
        <v>9</v>
      </c>
      <c r="H34" s="184">
        <v>4</v>
      </c>
      <c r="I34" s="116">
        <v>5</v>
      </c>
      <c r="J34" s="115">
        <v>7</v>
      </c>
      <c r="K34" s="184">
        <v>6</v>
      </c>
      <c r="L34" s="97">
        <v>7</v>
      </c>
      <c r="M34" s="115">
        <v>2</v>
      </c>
      <c r="N34" s="184">
        <v>8</v>
      </c>
      <c r="O34" s="97"/>
      <c r="P34" s="180">
        <v>0</v>
      </c>
      <c r="Q34" s="134"/>
      <c r="R34" s="134"/>
      <c r="S34" s="134"/>
      <c r="T34" s="134"/>
      <c r="V34" s="111"/>
      <c r="W34" s="111"/>
      <c r="X34" s="111"/>
      <c r="Y34" s="111"/>
    </row>
    <row r="35" spans="1:25" ht="17" thickBot="1">
      <c r="A35">
        <v>55</v>
      </c>
      <c r="B35">
        <v>73</v>
      </c>
      <c r="C35" s="163">
        <f t="shared" ref="C35:C38" si="9">ABS(A35-B35)</f>
        <v>18</v>
      </c>
      <c r="D35" s="163">
        <f t="shared" ref="D35:D66" si="10">IF(AND(C35&gt;=E35,C35&lt;=F35),G35,IF(AND(C35&gt;=H35,C35&lt;=I35),J35,IF(AND(C35&gt;=K35,C35&lt;=L35),M35,P35)))</f>
        <v>0</v>
      </c>
      <c r="E35" s="135">
        <v>0</v>
      </c>
      <c r="F35" s="97">
        <v>6</v>
      </c>
      <c r="G35" s="115">
        <v>9</v>
      </c>
      <c r="H35" s="184">
        <v>7</v>
      </c>
      <c r="I35" s="116">
        <v>7</v>
      </c>
      <c r="J35" s="115">
        <v>5</v>
      </c>
      <c r="K35" s="184">
        <v>8</v>
      </c>
      <c r="L35" s="97">
        <v>8</v>
      </c>
      <c r="M35" s="115">
        <v>0</v>
      </c>
      <c r="N35" s="184">
        <v>8</v>
      </c>
      <c r="O35" s="97"/>
      <c r="P35" s="180">
        <v>0</v>
      </c>
      <c r="Q35" s="156"/>
      <c r="R35" s="145" t="s">
        <v>348</v>
      </c>
      <c r="S35" s="145">
        <f>SUM(D33:D38)</f>
        <v>0</v>
      </c>
      <c r="T35" s="146"/>
      <c r="V35" s="111"/>
      <c r="W35" s="111"/>
      <c r="X35" s="111"/>
      <c r="Y35" s="111"/>
    </row>
    <row r="36" spans="1:25" ht="17" thickTop="1">
      <c r="A36">
        <v>55</v>
      </c>
      <c r="B36">
        <v>72</v>
      </c>
      <c r="C36" s="163">
        <f t="shared" si="9"/>
        <v>17</v>
      </c>
      <c r="D36" s="163">
        <f t="shared" si="10"/>
        <v>0</v>
      </c>
      <c r="E36" s="135">
        <v>0</v>
      </c>
      <c r="F36" s="97">
        <v>5</v>
      </c>
      <c r="G36" s="115">
        <v>9</v>
      </c>
      <c r="H36" s="184">
        <v>6</v>
      </c>
      <c r="I36" s="116">
        <v>7</v>
      </c>
      <c r="J36" s="115">
        <v>9</v>
      </c>
      <c r="K36" s="184">
        <v>8</v>
      </c>
      <c r="L36" s="97">
        <v>8</v>
      </c>
      <c r="M36" s="115">
        <v>5</v>
      </c>
      <c r="N36" s="184">
        <v>8</v>
      </c>
      <c r="O36" s="97"/>
      <c r="P36" s="180">
        <v>0</v>
      </c>
      <c r="Q36" s="118" t="s">
        <v>351</v>
      </c>
      <c r="R36" s="118" t="s">
        <v>349</v>
      </c>
      <c r="S36" s="118">
        <f>SUM(Q38:T38)</f>
        <v>0</v>
      </c>
      <c r="T36" s="144"/>
      <c r="V36" s="111"/>
      <c r="W36" s="111"/>
      <c r="X36" s="111"/>
      <c r="Y36" s="111"/>
    </row>
    <row r="37" spans="1:25" ht="16">
      <c r="A37">
        <v>56</v>
      </c>
      <c r="B37">
        <v>74</v>
      </c>
      <c r="C37" s="163">
        <f t="shared" si="9"/>
        <v>18</v>
      </c>
      <c r="D37" s="163">
        <f t="shared" si="10"/>
        <v>0</v>
      </c>
      <c r="E37" s="135">
        <v>0</v>
      </c>
      <c r="F37" s="97">
        <v>4</v>
      </c>
      <c r="G37" s="115">
        <v>9</v>
      </c>
      <c r="H37" s="184">
        <v>5</v>
      </c>
      <c r="I37" s="116">
        <v>6</v>
      </c>
      <c r="J37" s="115">
        <v>5</v>
      </c>
      <c r="K37" s="184">
        <v>6</v>
      </c>
      <c r="L37" s="97">
        <v>6</v>
      </c>
      <c r="M37" s="115">
        <v>0</v>
      </c>
      <c r="N37" s="184">
        <v>6</v>
      </c>
      <c r="O37" s="97"/>
      <c r="P37" s="180">
        <v>0</v>
      </c>
      <c r="Q37" s="140" t="s">
        <v>246</v>
      </c>
      <c r="R37" s="140" t="s">
        <v>247</v>
      </c>
      <c r="S37" s="140" t="s">
        <v>248</v>
      </c>
      <c r="T37" s="141" t="s">
        <v>249</v>
      </c>
      <c r="V37" s="111"/>
      <c r="W37" s="111"/>
      <c r="X37" s="111"/>
      <c r="Y37" s="111"/>
    </row>
    <row r="38" spans="1:25" ht="17" thickBot="1">
      <c r="A38">
        <v>57</v>
      </c>
      <c r="B38">
        <v>76</v>
      </c>
      <c r="C38" s="147">
        <f t="shared" si="9"/>
        <v>19</v>
      </c>
      <c r="D38" s="147">
        <f t="shared" si="10"/>
        <v>0</v>
      </c>
      <c r="E38" s="190">
        <v>0</v>
      </c>
      <c r="F38" s="149">
        <v>2</v>
      </c>
      <c r="G38" s="150">
        <v>9</v>
      </c>
      <c r="H38" s="148">
        <v>3</v>
      </c>
      <c r="I38" s="151">
        <v>4</v>
      </c>
      <c r="J38" s="150">
        <v>7</v>
      </c>
      <c r="K38" s="190">
        <v>5</v>
      </c>
      <c r="L38" s="191">
        <v>6</v>
      </c>
      <c r="M38" s="178">
        <v>2</v>
      </c>
      <c r="N38" s="190">
        <v>7</v>
      </c>
      <c r="O38" s="191"/>
      <c r="P38" s="181">
        <v>0</v>
      </c>
      <c r="Q38" s="142">
        <f>IF(AND(S35&lt;=54,S35&gt;=51),9,0)</f>
        <v>0</v>
      </c>
      <c r="R38" s="142">
        <f>IF(AND(S35&lt;=50,S35&gt;=48),8,0)</f>
        <v>0</v>
      </c>
      <c r="S38" s="142">
        <f>IF(AND(S35&lt;=47,S35&gt;=35),7,0)</f>
        <v>0</v>
      </c>
      <c r="T38" s="143">
        <f>IF(AND(S35&lt;=34,S35&gt;=12),2,0)</f>
        <v>0</v>
      </c>
      <c r="V38" s="111"/>
      <c r="W38" s="111"/>
      <c r="X38" s="111"/>
      <c r="Y38" s="111"/>
    </row>
    <row r="39" spans="1:25" ht="17" thickTop="1">
      <c r="A39">
        <v>51</v>
      </c>
      <c r="B39">
        <v>64</v>
      </c>
      <c r="C39" s="163">
        <f t="shared" ref="C39" si="11">ABS(A39-B39)</f>
        <v>13</v>
      </c>
      <c r="D39" s="163">
        <f t="shared" si="10"/>
        <v>0</v>
      </c>
      <c r="E39" s="135">
        <v>0</v>
      </c>
      <c r="F39" s="97">
        <v>4</v>
      </c>
      <c r="G39" s="115">
        <v>9</v>
      </c>
      <c r="H39" s="184">
        <v>5</v>
      </c>
      <c r="I39" s="116">
        <v>5</v>
      </c>
      <c r="J39" s="115">
        <v>7</v>
      </c>
      <c r="K39" s="184">
        <v>6</v>
      </c>
      <c r="L39" s="97">
        <v>8</v>
      </c>
      <c r="M39" s="115">
        <v>2</v>
      </c>
      <c r="N39" s="184">
        <v>9</v>
      </c>
      <c r="O39" s="97"/>
      <c r="P39" s="180">
        <v>0</v>
      </c>
      <c r="Q39" s="134"/>
      <c r="R39" s="134"/>
      <c r="S39" s="134"/>
      <c r="T39" s="134"/>
      <c r="V39" s="111"/>
      <c r="W39" s="111"/>
      <c r="X39" s="111"/>
      <c r="Y39" s="111"/>
    </row>
    <row r="40" spans="1:25" ht="17" thickBot="1">
      <c r="A40">
        <v>50</v>
      </c>
      <c r="B40">
        <v>61</v>
      </c>
      <c r="C40" s="163">
        <f t="shared" ref="C40" si="12">ABS(A40-B40)</f>
        <v>11</v>
      </c>
      <c r="D40" s="163">
        <f t="shared" si="10"/>
        <v>2</v>
      </c>
      <c r="E40" s="135">
        <v>0</v>
      </c>
      <c r="F40" s="97">
        <v>5</v>
      </c>
      <c r="G40" s="115">
        <v>9</v>
      </c>
      <c r="H40" s="184">
        <v>6</v>
      </c>
      <c r="I40" s="116">
        <v>9</v>
      </c>
      <c r="J40" s="115">
        <v>7</v>
      </c>
      <c r="K40" s="184">
        <v>10</v>
      </c>
      <c r="L40" s="97">
        <v>12</v>
      </c>
      <c r="M40" s="115">
        <v>2</v>
      </c>
      <c r="N40" s="184">
        <v>13</v>
      </c>
      <c r="O40" s="97"/>
      <c r="P40" s="180">
        <v>0</v>
      </c>
      <c r="Q40" s="134"/>
      <c r="R40" s="134"/>
      <c r="S40" s="134"/>
      <c r="T40" s="134"/>
      <c r="V40" s="111"/>
      <c r="W40" s="111"/>
      <c r="X40" s="111"/>
      <c r="Y40" s="111"/>
    </row>
    <row r="41" spans="1:25" ht="17" thickBot="1">
      <c r="A41">
        <v>49</v>
      </c>
      <c r="B41">
        <v>59</v>
      </c>
      <c r="C41" s="163">
        <f t="shared" ref="C41:C44" si="13">ABS(A41-B41)</f>
        <v>10</v>
      </c>
      <c r="D41" s="163">
        <f t="shared" si="10"/>
        <v>2</v>
      </c>
      <c r="E41" s="135">
        <v>0</v>
      </c>
      <c r="F41" s="97">
        <v>5</v>
      </c>
      <c r="G41" s="115">
        <v>9</v>
      </c>
      <c r="H41" s="184">
        <v>6</v>
      </c>
      <c r="I41" s="116">
        <v>9</v>
      </c>
      <c r="J41" s="115">
        <v>7</v>
      </c>
      <c r="K41" s="184">
        <v>10</v>
      </c>
      <c r="L41" s="97">
        <v>13</v>
      </c>
      <c r="M41" s="115">
        <v>2</v>
      </c>
      <c r="N41" s="184">
        <v>14</v>
      </c>
      <c r="O41" s="97"/>
      <c r="P41" s="180">
        <v>0</v>
      </c>
      <c r="Q41" s="156"/>
      <c r="R41" s="145" t="s">
        <v>348</v>
      </c>
      <c r="S41" s="145">
        <f>SUM(D40:D44)</f>
        <v>13</v>
      </c>
      <c r="T41" s="146"/>
      <c r="V41" s="111"/>
      <c r="W41" s="111"/>
      <c r="X41" s="111"/>
      <c r="Y41" s="111"/>
    </row>
    <row r="42" spans="1:25" ht="17" thickTop="1">
      <c r="A42">
        <v>49</v>
      </c>
      <c r="B42">
        <v>58</v>
      </c>
      <c r="C42" s="163">
        <f t="shared" si="13"/>
        <v>9</v>
      </c>
      <c r="D42" s="163">
        <f t="shared" si="10"/>
        <v>7</v>
      </c>
      <c r="E42" s="135">
        <v>0</v>
      </c>
      <c r="F42" s="97">
        <v>5</v>
      </c>
      <c r="G42" s="115">
        <v>9</v>
      </c>
      <c r="H42" s="184">
        <v>6</v>
      </c>
      <c r="I42" s="116">
        <v>9</v>
      </c>
      <c r="J42" s="115">
        <v>7</v>
      </c>
      <c r="K42" s="184">
        <v>10</v>
      </c>
      <c r="L42" s="97">
        <v>12</v>
      </c>
      <c r="M42" s="115">
        <v>2</v>
      </c>
      <c r="N42" s="184">
        <v>13</v>
      </c>
      <c r="O42" s="97"/>
      <c r="P42" s="180">
        <v>0</v>
      </c>
      <c r="Q42" s="118" t="s">
        <v>352</v>
      </c>
      <c r="R42" s="118" t="s">
        <v>349</v>
      </c>
      <c r="S42" s="118">
        <f>SUM(Q44:T44)</f>
        <v>2</v>
      </c>
      <c r="T42" s="144"/>
      <c r="V42" s="111"/>
      <c r="W42" s="111"/>
      <c r="X42" s="111"/>
      <c r="Y42" s="111"/>
    </row>
    <row r="43" spans="1:25" ht="16">
      <c r="A43">
        <v>50</v>
      </c>
      <c r="B43">
        <v>60</v>
      </c>
      <c r="C43" s="163">
        <f t="shared" si="13"/>
        <v>10</v>
      </c>
      <c r="D43" s="163">
        <f t="shared" si="10"/>
        <v>2</v>
      </c>
      <c r="E43" s="135">
        <v>0</v>
      </c>
      <c r="F43" s="97">
        <v>4</v>
      </c>
      <c r="G43" s="115">
        <v>9</v>
      </c>
      <c r="H43" s="184">
        <v>5</v>
      </c>
      <c r="I43" s="116">
        <v>9</v>
      </c>
      <c r="J43" s="115">
        <v>7</v>
      </c>
      <c r="K43" s="184">
        <v>10</v>
      </c>
      <c r="L43" s="97">
        <v>11</v>
      </c>
      <c r="M43" s="115">
        <v>2</v>
      </c>
      <c r="N43" s="184">
        <v>12</v>
      </c>
      <c r="O43" s="97"/>
      <c r="P43" s="180">
        <v>0</v>
      </c>
      <c r="Q43" s="140" t="s">
        <v>246</v>
      </c>
      <c r="R43" s="140" t="s">
        <v>247</v>
      </c>
      <c r="S43" s="140" t="s">
        <v>273</v>
      </c>
      <c r="T43" s="141" t="s">
        <v>274</v>
      </c>
      <c r="V43" s="111"/>
      <c r="W43" s="111"/>
      <c r="X43" s="111"/>
      <c r="Y43" s="111"/>
    </row>
    <row r="44" spans="1:25" ht="17" thickBot="1">
      <c r="A44">
        <v>50</v>
      </c>
      <c r="B44">
        <v>62</v>
      </c>
      <c r="C44" s="147">
        <f t="shared" si="13"/>
        <v>12</v>
      </c>
      <c r="D44" s="147">
        <f t="shared" si="10"/>
        <v>0</v>
      </c>
      <c r="E44" s="190">
        <v>0</v>
      </c>
      <c r="F44" s="149">
        <v>4</v>
      </c>
      <c r="G44" s="150">
        <v>9</v>
      </c>
      <c r="H44" s="148">
        <v>5</v>
      </c>
      <c r="I44" s="151">
        <v>9</v>
      </c>
      <c r="J44" s="150">
        <v>7</v>
      </c>
      <c r="K44" s="190">
        <v>10</v>
      </c>
      <c r="L44" s="191">
        <v>11</v>
      </c>
      <c r="M44" s="178">
        <v>2</v>
      </c>
      <c r="N44" s="190">
        <v>12</v>
      </c>
      <c r="O44" s="191"/>
      <c r="P44" s="181">
        <v>0</v>
      </c>
      <c r="Q44" s="142">
        <f>IF(AND(S41&lt;=54,S41&gt;=51),9,0)</f>
        <v>0</v>
      </c>
      <c r="R44" s="142">
        <f>IF(AND(S41&lt;=50,S41&gt;=48),8,0)</f>
        <v>0</v>
      </c>
      <c r="S44" s="142">
        <f>IF(AND(S41&lt;=47,S41&gt;=41),7,0)</f>
        <v>0</v>
      </c>
      <c r="T44" s="143">
        <f>IF(AND(S41&lt;=40,S41&gt;=12),2,0)</f>
        <v>2</v>
      </c>
      <c r="V44" s="111"/>
      <c r="W44" s="111"/>
      <c r="X44" s="111"/>
      <c r="Y44" s="111"/>
    </row>
    <row r="45" spans="1:25" ht="17" thickTop="1">
      <c r="A45">
        <v>52</v>
      </c>
      <c r="B45">
        <v>68</v>
      </c>
      <c r="C45" s="163">
        <f t="shared" ref="C45" si="14">ABS(A45-B45)</f>
        <v>16</v>
      </c>
      <c r="D45" s="163">
        <f t="shared" si="10"/>
        <v>0</v>
      </c>
      <c r="E45" s="135">
        <v>0</v>
      </c>
      <c r="F45" s="97">
        <v>6</v>
      </c>
      <c r="G45" s="115">
        <v>9</v>
      </c>
      <c r="H45" s="184">
        <v>7</v>
      </c>
      <c r="I45" s="116">
        <v>7</v>
      </c>
      <c r="J45" s="115">
        <v>7</v>
      </c>
      <c r="K45" s="184">
        <v>8</v>
      </c>
      <c r="L45" s="97">
        <v>10</v>
      </c>
      <c r="M45" s="115">
        <v>2</v>
      </c>
      <c r="N45" s="184">
        <v>11</v>
      </c>
      <c r="O45" s="97"/>
      <c r="P45" s="180">
        <v>0</v>
      </c>
      <c r="Q45" s="134"/>
      <c r="R45" s="134"/>
      <c r="S45" s="134"/>
      <c r="T45" s="134"/>
      <c r="V45" s="111"/>
      <c r="W45" s="111"/>
      <c r="X45" s="111"/>
      <c r="Y45" s="111"/>
    </row>
    <row r="46" spans="1:25" ht="16">
      <c r="A46">
        <v>53</v>
      </c>
      <c r="B46">
        <v>69</v>
      </c>
      <c r="C46" s="163">
        <f t="shared" ref="C46" si="15">ABS(A46-B46)</f>
        <v>16</v>
      </c>
      <c r="D46" s="163">
        <f t="shared" si="10"/>
        <v>0</v>
      </c>
      <c r="E46" s="135">
        <v>0</v>
      </c>
      <c r="F46" s="97">
        <v>5</v>
      </c>
      <c r="G46" s="115">
        <v>9</v>
      </c>
      <c r="H46" s="184">
        <v>6</v>
      </c>
      <c r="I46" s="116">
        <v>6</v>
      </c>
      <c r="J46" s="115">
        <v>7</v>
      </c>
      <c r="K46" s="184">
        <v>7</v>
      </c>
      <c r="L46" s="97">
        <v>7</v>
      </c>
      <c r="M46" s="115">
        <v>2</v>
      </c>
      <c r="N46" s="184">
        <v>8</v>
      </c>
      <c r="O46" s="97"/>
      <c r="P46" s="180">
        <v>0</v>
      </c>
      <c r="Q46" s="134"/>
      <c r="R46" s="134"/>
      <c r="S46" s="134"/>
      <c r="T46" s="134"/>
      <c r="V46" s="111"/>
      <c r="W46" s="111"/>
      <c r="X46" s="111"/>
      <c r="Y46" s="111"/>
    </row>
    <row r="47" spans="1:25" ht="16">
      <c r="A47">
        <v>54</v>
      </c>
      <c r="B47">
        <v>70</v>
      </c>
      <c r="C47" s="163">
        <f t="shared" ref="C47:C53" si="16">ABS(A47-B47)</f>
        <v>16</v>
      </c>
      <c r="D47" s="163">
        <f t="shared" si="10"/>
        <v>0</v>
      </c>
      <c r="E47" s="135">
        <v>0</v>
      </c>
      <c r="F47" s="97">
        <v>6</v>
      </c>
      <c r="G47" s="115">
        <v>9</v>
      </c>
      <c r="H47" s="184">
        <v>7</v>
      </c>
      <c r="I47" s="116">
        <v>7</v>
      </c>
      <c r="J47" s="115">
        <v>8</v>
      </c>
      <c r="K47" s="184">
        <v>7</v>
      </c>
      <c r="L47" s="97">
        <v>7</v>
      </c>
      <c r="M47" s="115">
        <v>2</v>
      </c>
      <c r="N47" s="184">
        <v>9</v>
      </c>
      <c r="O47" s="97"/>
      <c r="P47" s="180">
        <v>0</v>
      </c>
      <c r="Q47" s="134"/>
      <c r="R47" s="134"/>
      <c r="S47" s="134"/>
      <c r="T47" s="134"/>
      <c r="V47" s="111"/>
      <c r="W47" s="111"/>
      <c r="X47" s="111"/>
      <c r="Y47" s="111"/>
    </row>
    <row r="48" spans="1:25" ht="16">
      <c r="A48">
        <v>55</v>
      </c>
      <c r="B48">
        <v>72</v>
      </c>
      <c r="C48" s="163">
        <f t="shared" si="16"/>
        <v>17</v>
      </c>
      <c r="D48" s="163">
        <f t="shared" si="10"/>
        <v>0</v>
      </c>
      <c r="E48" s="135">
        <v>0</v>
      </c>
      <c r="F48" s="97">
        <v>5</v>
      </c>
      <c r="G48" s="115">
        <v>9</v>
      </c>
      <c r="H48" s="184">
        <v>6</v>
      </c>
      <c r="I48" s="116">
        <v>6</v>
      </c>
      <c r="J48" s="115">
        <v>5</v>
      </c>
      <c r="K48" s="184">
        <v>7</v>
      </c>
      <c r="L48" s="97">
        <v>7</v>
      </c>
      <c r="M48" s="115">
        <v>2</v>
      </c>
      <c r="N48" s="184">
        <v>8</v>
      </c>
      <c r="O48" s="97"/>
      <c r="P48" s="180">
        <v>0</v>
      </c>
      <c r="Q48" s="134"/>
      <c r="R48" s="134"/>
      <c r="S48" s="134"/>
      <c r="T48" s="134"/>
      <c r="V48" s="111"/>
      <c r="W48" s="111"/>
      <c r="X48" s="111"/>
      <c r="Y48" s="111"/>
    </row>
    <row r="49" spans="1:25" ht="17" thickBot="1">
      <c r="A49">
        <v>57</v>
      </c>
      <c r="B49">
        <v>75</v>
      </c>
      <c r="C49" s="163">
        <f t="shared" si="16"/>
        <v>18</v>
      </c>
      <c r="D49" s="163">
        <f t="shared" si="10"/>
        <v>0</v>
      </c>
      <c r="E49" s="135">
        <v>0</v>
      </c>
      <c r="F49" s="97">
        <v>2</v>
      </c>
      <c r="G49" s="115">
        <v>9</v>
      </c>
      <c r="H49" s="184">
        <v>3</v>
      </c>
      <c r="I49" s="116">
        <v>4</v>
      </c>
      <c r="J49" s="115">
        <v>7</v>
      </c>
      <c r="K49" s="184">
        <v>5</v>
      </c>
      <c r="L49" s="97">
        <v>6</v>
      </c>
      <c r="M49" s="115">
        <v>2</v>
      </c>
      <c r="N49" s="184">
        <v>7</v>
      </c>
      <c r="O49" s="97"/>
      <c r="P49" s="180">
        <v>0</v>
      </c>
      <c r="Q49" s="134"/>
      <c r="R49" s="134"/>
      <c r="S49" s="134"/>
      <c r="T49" s="134"/>
      <c r="V49" s="111"/>
      <c r="W49" s="111"/>
      <c r="X49" s="111"/>
      <c r="Y49" s="111"/>
    </row>
    <row r="50" spans="1:25" ht="17" thickBot="1">
      <c r="A50">
        <v>56</v>
      </c>
      <c r="B50">
        <v>74</v>
      </c>
      <c r="C50" s="163">
        <f t="shared" si="16"/>
        <v>18</v>
      </c>
      <c r="D50" s="163">
        <f t="shared" si="10"/>
        <v>0</v>
      </c>
      <c r="E50" s="135">
        <v>0</v>
      </c>
      <c r="F50" s="97">
        <v>2</v>
      </c>
      <c r="G50" s="115">
        <v>9</v>
      </c>
      <c r="H50" s="184">
        <v>3</v>
      </c>
      <c r="I50" s="116">
        <v>4</v>
      </c>
      <c r="J50" s="115">
        <v>7</v>
      </c>
      <c r="K50" s="184">
        <v>5</v>
      </c>
      <c r="L50" s="97">
        <v>6</v>
      </c>
      <c r="M50" s="115">
        <v>2</v>
      </c>
      <c r="N50" s="184">
        <v>7</v>
      </c>
      <c r="O50" s="97"/>
      <c r="P50" s="180">
        <v>0</v>
      </c>
      <c r="Q50" s="156"/>
      <c r="R50" s="145" t="s">
        <v>348</v>
      </c>
      <c r="S50" s="145">
        <f>SUM(D45:D53)</f>
        <v>0</v>
      </c>
      <c r="T50" s="146"/>
      <c r="V50" s="111"/>
      <c r="W50" s="111"/>
      <c r="X50" s="111"/>
      <c r="Y50" s="111"/>
    </row>
    <row r="51" spans="1:25" ht="17" thickTop="1">
      <c r="A51">
        <v>56</v>
      </c>
      <c r="B51">
        <v>72</v>
      </c>
      <c r="C51" s="163">
        <f t="shared" si="16"/>
        <v>16</v>
      </c>
      <c r="D51" s="163">
        <f t="shared" si="10"/>
        <v>0</v>
      </c>
      <c r="E51" s="135">
        <v>0</v>
      </c>
      <c r="F51" s="97">
        <v>3</v>
      </c>
      <c r="G51" s="115">
        <v>9</v>
      </c>
      <c r="H51" s="184">
        <v>4</v>
      </c>
      <c r="I51" s="116">
        <v>4</v>
      </c>
      <c r="J51" s="115">
        <v>7</v>
      </c>
      <c r="K51" s="184">
        <v>5</v>
      </c>
      <c r="L51" s="97">
        <v>5</v>
      </c>
      <c r="M51" s="115">
        <v>2</v>
      </c>
      <c r="N51" s="184">
        <v>6</v>
      </c>
      <c r="O51" s="97"/>
      <c r="P51" s="180">
        <v>0</v>
      </c>
      <c r="Q51" s="118" t="s">
        <v>354</v>
      </c>
      <c r="R51" s="118" t="s">
        <v>349</v>
      </c>
      <c r="S51" s="118">
        <f>SUM(Q53:T53)</f>
        <v>0</v>
      </c>
      <c r="T51" s="144"/>
      <c r="V51" s="111"/>
      <c r="W51" s="111"/>
      <c r="X51" s="111"/>
      <c r="Y51" s="111"/>
    </row>
    <row r="52" spans="1:25" ht="16">
      <c r="A52">
        <v>55</v>
      </c>
      <c r="B52">
        <v>70</v>
      </c>
      <c r="C52" s="163">
        <f t="shared" si="16"/>
        <v>15</v>
      </c>
      <c r="D52" s="163">
        <f t="shared" si="10"/>
        <v>0</v>
      </c>
      <c r="E52" s="135">
        <v>0</v>
      </c>
      <c r="F52" s="97">
        <v>6</v>
      </c>
      <c r="G52" s="115">
        <v>9</v>
      </c>
      <c r="H52" s="184">
        <v>7</v>
      </c>
      <c r="I52" s="116">
        <v>7</v>
      </c>
      <c r="J52" s="115">
        <v>9</v>
      </c>
      <c r="K52" s="184">
        <v>7</v>
      </c>
      <c r="L52" s="97">
        <v>7</v>
      </c>
      <c r="M52" s="115">
        <v>9</v>
      </c>
      <c r="N52" s="184">
        <v>7</v>
      </c>
      <c r="O52" s="97"/>
      <c r="P52" s="180">
        <v>0</v>
      </c>
      <c r="Q52" s="171" t="s">
        <v>302</v>
      </c>
      <c r="R52" s="171" t="s">
        <v>303</v>
      </c>
      <c r="S52" s="171" t="s">
        <v>304</v>
      </c>
      <c r="T52" s="172" t="s">
        <v>305</v>
      </c>
      <c r="V52" s="111"/>
      <c r="W52" s="111"/>
      <c r="X52" s="111"/>
      <c r="Y52" s="111"/>
    </row>
    <row r="53" spans="1:25" ht="17" thickBot="1">
      <c r="A53">
        <v>54</v>
      </c>
      <c r="B53">
        <v>69</v>
      </c>
      <c r="C53" s="147">
        <f t="shared" si="16"/>
        <v>15</v>
      </c>
      <c r="D53" s="147">
        <f t="shared" si="10"/>
        <v>0</v>
      </c>
      <c r="E53" s="190">
        <v>0</v>
      </c>
      <c r="F53" s="149">
        <v>3</v>
      </c>
      <c r="G53" s="150">
        <v>9</v>
      </c>
      <c r="H53" s="148">
        <v>4</v>
      </c>
      <c r="I53" s="151">
        <v>4</v>
      </c>
      <c r="J53" s="150">
        <v>7</v>
      </c>
      <c r="K53" s="190">
        <v>5</v>
      </c>
      <c r="L53" s="191">
        <v>5</v>
      </c>
      <c r="M53" s="178">
        <v>2</v>
      </c>
      <c r="N53" s="190">
        <v>6</v>
      </c>
      <c r="O53" s="191"/>
      <c r="P53" s="181">
        <v>0</v>
      </c>
      <c r="Q53" s="142">
        <f>IF(AND(S50&lt;=81,S50&gt;=59),9,0)</f>
        <v>0</v>
      </c>
      <c r="R53" s="142">
        <f>IF(AND(S50&lt;=58,S50&gt;=54),8,0)</f>
        <v>0</v>
      </c>
      <c r="S53" s="142">
        <f>IF(AND(S50&lt;=53,S50&gt;=20),2,0)</f>
        <v>0</v>
      </c>
      <c r="T53" s="143">
        <f>IF(AND(S50&lt;=19,S50&gt;=0),0,0)</f>
        <v>0</v>
      </c>
      <c r="V53" s="111"/>
      <c r="W53" s="111"/>
      <c r="X53" s="111"/>
      <c r="Y53" s="111"/>
    </row>
    <row r="54" spans="1:25" ht="17" thickTop="1">
      <c r="A54">
        <v>60</v>
      </c>
      <c r="B54">
        <v>81</v>
      </c>
      <c r="C54" s="163">
        <f t="shared" ref="C54" si="17">ABS(A54-B54)</f>
        <v>21</v>
      </c>
      <c r="D54" s="163">
        <f t="shared" si="10"/>
        <v>0</v>
      </c>
      <c r="E54" s="135">
        <v>0</v>
      </c>
      <c r="F54" s="97">
        <v>2</v>
      </c>
      <c r="G54" s="115">
        <v>9</v>
      </c>
      <c r="H54" s="184">
        <v>3</v>
      </c>
      <c r="I54" s="116">
        <v>4</v>
      </c>
      <c r="J54" s="115">
        <v>7</v>
      </c>
      <c r="K54" s="184">
        <v>5</v>
      </c>
      <c r="L54" s="97">
        <v>6</v>
      </c>
      <c r="M54" s="115">
        <v>2</v>
      </c>
      <c r="N54" s="184">
        <v>7</v>
      </c>
      <c r="O54" s="97"/>
      <c r="P54" s="180">
        <v>0</v>
      </c>
      <c r="Q54" s="134"/>
      <c r="R54" s="134"/>
      <c r="S54" s="134"/>
      <c r="T54" s="134"/>
      <c r="V54" s="111"/>
      <c r="W54" s="111"/>
      <c r="X54" s="111"/>
      <c r="Y54" s="111"/>
    </row>
    <row r="55" spans="1:25" ht="16">
      <c r="A55">
        <v>61</v>
      </c>
      <c r="B55">
        <v>82</v>
      </c>
      <c r="C55" s="163">
        <f t="shared" ref="C55" si="18">ABS(A55-B55)</f>
        <v>21</v>
      </c>
      <c r="D55" s="163">
        <f t="shared" si="10"/>
        <v>0</v>
      </c>
      <c r="E55" s="135">
        <v>0</v>
      </c>
      <c r="F55" s="97">
        <v>2</v>
      </c>
      <c r="G55" s="115">
        <v>9</v>
      </c>
      <c r="H55" s="184">
        <v>3</v>
      </c>
      <c r="I55" s="116">
        <v>4</v>
      </c>
      <c r="J55" s="115">
        <v>7</v>
      </c>
      <c r="K55" s="184">
        <v>5</v>
      </c>
      <c r="L55" s="97">
        <v>6</v>
      </c>
      <c r="M55" s="115">
        <v>2</v>
      </c>
      <c r="N55" s="184">
        <v>7</v>
      </c>
      <c r="O55" s="97"/>
      <c r="P55" s="180">
        <v>0</v>
      </c>
      <c r="Q55" s="134"/>
      <c r="R55" s="134"/>
      <c r="S55" s="134"/>
      <c r="T55" s="134"/>
      <c r="V55" s="111"/>
      <c r="W55" s="111"/>
      <c r="X55" s="111"/>
      <c r="Y55" s="111"/>
    </row>
    <row r="56" spans="1:25" ht="16">
      <c r="A56">
        <v>62</v>
      </c>
      <c r="B56">
        <v>83</v>
      </c>
      <c r="C56" s="163">
        <f t="shared" ref="C56:C70" si="19">ABS(A56-B56)</f>
        <v>21</v>
      </c>
      <c r="D56" s="163">
        <f t="shared" si="10"/>
        <v>0</v>
      </c>
      <c r="E56" s="135">
        <v>0</v>
      </c>
      <c r="F56" s="97">
        <v>2</v>
      </c>
      <c r="G56" s="115">
        <v>9</v>
      </c>
      <c r="H56" s="184">
        <v>3</v>
      </c>
      <c r="I56" s="116">
        <v>4</v>
      </c>
      <c r="J56" s="115">
        <v>7</v>
      </c>
      <c r="K56" s="184">
        <v>5</v>
      </c>
      <c r="L56" s="97">
        <v>6</v>
      </c>
      <c r="M56" s="115">
        <v>2</v>
      </c>
      <c r="N56" s="184">
        <v>7</v>
      </c>
      <c r="O56" s="97"/>
      <c r="P56" s="180">
        <v>0</v>
      </c>
      <c r="Q56" s="134"/>
      <c r="R56" s="134"/>
      <c r="S56" s="134"/>
      <c r="T56" s="134"/>
      <c r="V56" s="111"/>
      <c r="W56" s="111"/>
      <c r="X56" s="111"/>
      <c r="Y56" s="111"/>
    </row>
    <row r="57" spans="1:25" ht="16">
      <c r="A57">
        <v>63</v>
      </c>
      <c r="B57">
        <v>83</v>
      </c>
      <c r="C57" s="163">
        <f t="shared" si="19"/>
        <v>20</v>
      </c>
      <c r="D57" s="163">
        <f t="shared" si="10"/>
        <v>0</v>
      </c>
      <c r="E57" s="135">
        <v>0</v>
      </c>
      <c r="F57" s="97">
        <v>2</v>
      </c>
      <c r="G57" s="115">
        <v>9</v>
      </c>
      <c r="H57" s="184">
        <v>3</v>
      </c>
      <c r="I57" s="116">
        <v>4</v>
      </c>
      <c r="J57" s="115">
        <v>7</v>
      </c>
      <c r="K57" s="184">
        <v>5</v>
      </c>
      <c r="L57" s="97">
        <v>6</v>
      </c>
      <c r="M57" s="115">
        <v>2</v>
      </c>
      <c r="N57" s="184">
        <v>7</v>
      </c>
      <c r="O57" s="97"/>
      <c r="P57" s="180">
        <v>0</v>
      </c>
      <c r="Q57" s="134"/>
      <c r="R57" s="134"/>
      <c r="S57" s="134"/>
      <c r="T57" s="134"/>
      <c r="V57" s="111"/>
      <c r="W57" s="111"/>
      <c r="X57" s="111"/>
      <c r="Y57" s="111"/>
    </row>
    <row r="58" spans="1:25" ht="16">
      <c r="A58">
        <v>63</v>
      </c>
      <c r="B58">
        <v>82</v>
      </c>
      <c r="C58" s="163">
        <f t="shared" si="19"/>
        <v>19</v>
      </c>
      <c r="D58" s="163">
        <f t="shared" si="10"/>
        <v>0</v>
      </c>
      <c r="E58" s="135">
        <v>0</v>
      </c>
      <c r="F58" s="97">
        <v>2</v>
      </c>
      <c r="G58" s="115">
        <v>9</v>
      </c>
      <c r="H58" s="184">
        <v>3</v>
      </c>
      <c r="I58" s="116">
        <v>4</v>
      </c>
      <c r="J58" s="115">
        <v>7</v>
      </c>
      <c r="K58" s="184">
        <v>5</v>
      </c>
      <c r="L58" s="97">
        <v>6</v>
      </c>
      <c r="M58" s="115">
        <v>2</v>
      </c>
      <c r="N58" s="184">
        <v>7</v>
      </c>
      <c r="O58" s="97"/>
      <c r="P58" s="180">
        <v>0</v>
      </c>
      <c r="Q58" s="134"/>
      <c r="R58" s="134"/>
      <c r="S58" s="134"/>
      <c r="T58" s="134"/>
      <c r="V58" s="111"/>
      <c r="W58" s="111"/>
      <c r="X58" s="111"/>
      <c r="Y58" s="111"/>
    </row>
    <row r="59" spans="1:25" ht="16">
      <c r="A59">
        <v>64</v>
      </c>
      <c r="B59">
        <v>81</v>
      </c>
      <c r="C59" s="163">
        <f t="shared" si="19"/>
        <v>17</v>
      </c>
      <c r="D59" s="163">
        <f t="shared" si="10"/>
        <v>0</v>
      </c>
      <c r="E59" s="135">
        <v>0</v>
      </c>
      <c r="F59" s="97">
        <v>2</v>
      </c>
      <c r="G59" s="115">
        <v>9</v>
      </c>
      <c r="H59" s="184">
        <v>3</v>
      </c>
      <c r="I59" s="116">
        <v>4</v>
      </c>
      <c r="J59" s="115">
        <v>7</v>
      </c>
      <c r="K59" s="184">
        <v>5</v>
      </c>
      <c r="L59" s="97">
        <v>6</v>
      </c>
      <c r="M59" s="115">
        <v>2</v>
      </c>
      <c r="N59" s="184">
        <v>7</v>
      </c>
      <c r="O59" s="97"/>
      <c r="P59" s="180">
        <v>0</v>
      </c>
      <c r="Q59" s="134"/>
      <c r="R59" s="134"/>
      <c r="S59" s="134"/>
      <c r="T59" s="134"/>
      <c r="V59" s="111"/>
      <c r="W59" s="111"/>
      <c r="X59" s="111"/>
      <c r="Y59" s="111"/>
    </row>
    <row r="60" spans="1:25" ht="16">
      <c r="A60">
        <v>63</v>
      </c>
      <c r="B60">
        <v>79</v>
      </c>
      <c r="C60" s="163">
        <f t="shared" si="19"/>
        <v>16</v>
      </c>
      <c r="D60" s="163">
        <f t="shared" si="10"/>
        <v>0</v>
      </c>
      <c r="E60" s="135">
        <v>0</v>
      </c>
      <c r="F60" s="97">
        <v>3</v>
      </c>
      <c r="G60" s="115">
        <v>9</v>
      </c>
      <c r="H60" s="184">
        <v>4</v>
      </c>
      <c r="I60" s="116">
        <v>4</v>
      </c>
      <c r="J60" s="115">
        <v>7</v>
      </c>
      <c r="K60" s="184">
        <v>5</v>
      </c>
      <c r="L60" s="97">
        <v>5</v>
      </c>
      <c r="M60" s="115">
        <v>2</v>
      </c>
      <c r="N60" s="184">
        <v>6</v>
      </c>
      <c r="O60" s="97"/>
      <c r="P60" s="180">
        <v>0</v>
      </c>
      <c r="Q60" s="134"/>
      <c r="R60" s="134"/>
      <c r="S60" s="134"/>
      <c r="T60" s="134"/>
      <c r="V60" s="111"/>
      <c r="W60" s="111"/>
      <c r="X60" s="111"/>
      <c r="Y60" s="111"/>
    </row>
    <row r="61" spans="1:25" ht="16">
      <c r="A61">
        <v>62</v>
      </c>
      <c r="B61">
        <v>78</v>
      </c>
      <c r="C61" s="163">
        <f t="shared" si="19"/>
        <v>16</v>
      </c>
      <c r="D61" s="163">
        <f t="shared" si="10"/>
        <v>0</v>
      </c>
      <c r="E61" s="135">
        <v>0</v>
      </c>
      <c r="F61" s="97">
        <v>3</v>
      </c>
      <c r="G61" s="115">
        <v>9</v>
      </c>
      <c r="H61" s="184">
        <v>4</v>
      </c>
      <c r="I61" s="116">
        <v>4</v>
      </c>
      <c r="J61" s="115">
        <v>7</v>
      </c>
      <c r="K61" s="184">
        <v>5</v>
      </c>
      <c r="L61" s="97">
        <v>5</v>
      </c>
      <c r="M61" s="115">
        <v>2</v>
      </c>
      <c r="N61" s="184">
        <v>6</v>
      </c>
      <c r="O61" s="97"/>
      <c r="P61" s="180">
        <v>0</v>
      </c>
      <c r="Q61" s="134"/>
      <c r="R61" s="134"/>
      <c r="S61" s="134"/>
      <c r="T61" s="134"/>
      <c r="V61" s="111"/>
      <c r="W61" s="111"/>
      <c r="X61" s="111"/>
      <c r="Y61" s="111"/>
    </row>
    <row r="62" spans="1:25" ht="16">
      <c r="A62">
        <v>60</v>
      </c>
      <c r="B62">
        <v>75</v>
      </c>
      <c r="C62" s="163">
        <f t="shared" si="19"/>
        <v>15</v>
      </c>
      <c r="D62" s="163">
        <f t="shared" si="10"/>
        <v>0</v>
      </c>
      <c r="E62" s="135">
        <v>0</v>
      </c>
      <c r="F62" s="97">
        <v>2</v>
      </c>
      <c r="G62" s="115">
        <v>9</v>
      </c>
      <c r="H62" s="184">
        <v>3</v>
      </c>
      <c r="I62" s="116">
        <v>4</v>
      </c>
      <c r="J62" s="115">
        <v>7</v>
      </c>
      <c r="K62" s="184">
        <v>5</v>
      </c>
      <c r="L62" s="97">
        <v>6</v>
      </c>
      <c r="M62" s="115">
        <v>2</v>
      </c>
      <c r="N62" s="184">
        <v>7</v>
      </c>
      <c r="O62" s="97"/>
      <c r="P62" s="180">
        <v>0</v>
      </c>
      <c r="Q62" s="134"/>
      <c r="R62" s="134"/>
      <c r="S62" s="134"/>
      <c r="T62" s="134"/>
      <c r="V62" s="111"/>
      <c r="W62" s="111"/>
      <c r="X62" s="111"/>
      <c r="Y62" s="111"/>
    </row>
    <row r="63" spans="1:25" ht="16">
      <c r="A63">
        <v>58</v>
      </c>
      <c r="B63">
        <v>73</v>
      </c>
      <c r="C63" s="163">
        <f t="shared" si="19"/>
        <v>15</v>
      </c>
      <c r="D63" s="163">
        <f t="shared" si="10"/>
        <v>0</v>
      </c>
      <c r="E63" s="135">
        <v>0</v>
      </c>
      <c r="F63" s="97">
        <v>2</v>
      </c>
      <c r="G63" s="115">
        <v>9</v>
      </c>
      <c r="H63" s="184">
        <v>3</v>
      </c>
      <c r="I63" s="116">
        <v>4</v>
      </c>
      <c r="J63" s="115">
        <v>7</v>
      </c>
      <c r="K63" s="184">
        <v>5</v>
      </c>
      <c r="L63" s="97">
        <v>6</v>
      </c>
      <c r="M63" s="115">
        <v>2</v>
      </c>
      <c r="N63" s="184">
        <v>7</v>
      </c>
      <c r="O63" s="97"/>
      <c r="P63" s="180">
        <v>0</v>
      </c>
      <c r="Q63" s="134"/>
      <c r="R63" s="134"/>
      <c r="S63" s="134"/>
      <c r="T63" s="134"/>
      <c r="V63" s="111"/>
      <c r="W63" s="111"/>
      <c r="X63" s="111"/>
      <c r="Y63" s="111"/>
    </row>
    <row r="64" spans="1:25" ht="16">
      <c r="A64">
        <v>57</v>
      </c>
      <c r="B64">
        <v>70</v>
      </c>
      <c r="C64" s="163">
        <f t="shared" si="19"/>
        <v>13</v>
      </c>
      <c r="D64" s="163">
        <f t="shared" si="10"/>
        <v>0</v>
      </c>
      <c r="E64" s="135">
        <v>0</v>
      </c>
      <c r="F64" s="97">
        <v>2</v>
      </c>
      <c r="G64" s="115">
        <v>9</v>
      </c>
      <c r="H64" s="184">
        <v>3</v>
      </c>
      <c r="I64" s="116">
        <v>4</v>
      </c>
      <c r="J64" s="115">
        <v>7</v>
      </c>
      <c r="K64" s="184">
        <v>5</v>
      </c>
      <c r="L64" s="97">
        <v>6</v>
      </c>
      <c r="M64" s="115">
        <v>2</v>
      </c>
      <c r="N64" s="184">
        <v>7</v>
      </c>
      <c r="O64" s="97"/>
      <c r="P64" s="180">
        <v>0</v>
      </c>
      <c r="Q64" s="134"/>
      <c r="R64" s="134"/>
      <c r="S64" s="134"/>
      <c r="T64" s="134"/>
      <c r="V64" s="111"/>
      <c r="W64" s="111"/>
      <c r="X64" s="111"/>
      <c r="Y64" s="111"/>
    </row>
    <row r="65" spans="1:25" ht="16">
      <c r="A65">
        <v>55</v>
      </c>
      <c r="B65">
        <v>67</v>
      </c>
      <c r="C65" s="163">
        <f t="shared" si="19"/>
        <v>12</v>
      </c>
      <c r="D65" s="163">
        <f t="shared" si="10"/>
        <v>0</v>
      </c>
      <c r="E65" s="135">
        <v>0</v>
      </c>
      <c r="F65" s="97">
        <v>2</v>
      </c>
      <c r="G65" s="115">
        <v>9</v>
      </c>
      <c r="H65" s="184">
        <v>3</v>
      </c>
      <c r="I65" s="116">
        <v>4</v>
      </c>
      <c r="J65" s="115">
        <v>7</v>
      </c>
      <c r="K65" s="184">
        <v>5</v>
      </c>
      <c r="L65" s="97">
        <v>6</v>
      </c>
      <c r="M65" s="115">
        <v>2</v>
      </c>
      <c r="N65" s="184">
        <v>7</v>
      </c>
      <c r="O65" s="97"/>
      <c r="P65" s="180">
        <v>0</v>
      </c>
      <c r="Q65" s="134"/>
      <c r="R65" s="134"/>
      <c r="S65" s="134"/>
      <c r="T65" s="134"/>
      <c r="V65" s="111"/>
      <c r="W65" s="111"/>
      <c r="X65" s="111"/>
      <c r="Y65" s="111"/>
    </row>
    <row r="66" spans="1:25" ht="17" thickBot="1">
      <c r="A66">
        <v>53</v>
      </c>
      <c r="B66">
        <v>64</v>
      </c>
      <c r="C66" s="163">
        <f t="shared" si="19"/>
        <v>11</v>
      </c>
      <c r="D66" s="163">
        <f t="shared" si="10"/>
        <v>0</v>
      </c>
      <c r="E66" s="135">
        <v>0</v>
      </c>
      <c r="F66" s="97">
        <v>2</v>
      </c>
      <c r="G66" s="115">
        <v>9</v>
      </c>
      <c r="H66" s="184">
        <v>3</v>
      </c>
      <c r="I66" s="116">
        <v>4</v>
      </c>
      <c r="J66" s="115">
        <v>7</v>
      </c>
      <c r="K66" s="184">
        <v>5</v>
      </c>
      <c r="L66" s="97">
        <v>6</v>
      </c>
      <c r="M66" s="115">
        <v>2</v>
      </c>
      <c r="N66" s="184">
        <v>7</v>
      </c>
      <c r="O66" s="97"/>
      <c r="P66" s="180">
        <v>0</v>
      </c>
      <c r="Q66" s="134"/>
      <c r="R66" s="134"/>
      <c r="S66" s="134"/>
      <c r="T66" s="134"/>
      <c r="V66" s="111"/>
      <c r="W66" s="111"/>
      <c r="X66" s="111"/>
      <c r="Y66" s="111"/>
    </row>
    <row r="67" spans="1:25" ht="17" thickBot="1">
      <c r="A67">
        <v>51</v>
      </c>
      <c r="B67">
        <v>62</v>
      </c>
      <c r="C67" s="163">
        <f t="shared" si="19"/>
        <v>11</v>
      </c>
      <c r="D67" s="163">
        <f t="shared" ref="D67:D97" si="20">IF(AND(C67&gt;=E67,C67&lt;=F67),G67,IF(AND(C67&gt;=H67,C67&lt;=I67),J67,IF(AND(C67&gt;=K67,C67&lt;=L67),M67,P67)))</f>
        <v>0</v>
      </c>
      <c r="E67" s="135">
        <v>0</v>
      </c>
      <c r="F67" s="97">
        <v>2</v>
      </c>
      <c r="G67" s="115">
        <v>9</v>
      </c>
      <c r="H67" s="184">
        <v>3</v>
      </c>
      <c r="I67" s="116">
        <v>4</v>
      </c>
      <c r="J67" s="115">
        <v>7</v>
      </c>
      <c r="K67" s="184">
        <v>5</v>
      </c>
      <c r="L67" s="97">
        <v>6</v>
      </c>
      <c r="M67" s="115">
        <v>2</v>
      </c>
      <c r="N67" s="184">
        <v>7</v>
      </c>
      <c r="O67" s="97"/>
      <c r="P67" s="180">
        <v>0</v>
      </c>
      <c r="Q67" s="156"/>
      <c r="R67" s="145" t="s">
        <v>348</v>
      </c>
      <c r="S67" s="145">
        <f>SUM(D54:D70)</f>
        <v>0</v>
      </c>
      <c r="T67" s="146"/>
      <c r="V67" s="111"/>
      <c r="W67" s="111"/>
      <c r="X67" s="111"/>
      <c r="Y67" s="111"/>
    </row>
    <row r="68" spans="1:25" ht="17" thickTop="1">
      <c r="A68">
        <v>50</v>
      </c>
      <c r="B68">
        <v>59</v>
      </c>
      <c r="C68" s="163">
        <f t="shared" si="19"/>
        <v>9</v>
      </c>
      <c r="D68" s="163">
        <f t="shared" si="20"/>
        <v>0</v>
      </c>
      <c r="E68" s="135">
        <v>0</v>
      </c>
      <c r="F68" s="97">
        <v>2</v>
      </c>
      <c r="G68" s="115">
        <v>9</v>
      </c>
      <c r="H68" s="184">
        <v>3</v>
      </c>
      <c r="I68" s="116">
        <v>4</v>
      </c>
      <c r="J68" s="115">
        <v>7</v>
      </c>
      <c r="K68" s="184">
        <v>5</v>
      </c>
      <c r="L68" s="97">
        <v>6</v>
      </c>
      <c r="M68" s="115">
        <v>2</v>
      </c>
      <c r="N68" s="184">
        <v>7</v>
      </c>
      <c r="O68" s="97"/>
      <c r="P68" s="180">
        <v>0</v>
      </c>
      <c r="Q68" s="118" t="s">
        <v>379</v>
      </c>
      <c r="R68" s="118" t="s">
        <v>349</v>
      </c>
      <c r="S68" s="118">
        <f>SUM(Q70:T70)</f>
        <v>0</v>
      </c>
      <c r="T68" s="144"/>
      <c r="V68" s="111"/>
      <c r="W68" s="111"/>
      <c r="X68" s="111"/>
      <c r="Y68" s="111"/>
    </row>
    <row r="69" spans="1:25" ht="16">
      <c r="A69">
        <v>49</v>
      </c>
      <c r="B69">
        <v>57</v>
      </c>
      <c r="C69" s="163">
        <f t="shared" si="19"/>
        <v>8</v>
      </c>
      <c r="D69" s="163">
        <f t="shared" si="20"/>
        <v>0</v>
      </c>
      <c r="E69" s="135">
        <v>0</v>
      </c>
      <c r="F69" s="97">
        <v>2</v>
      </c>
      <c r="G69" s="115">
        <v>9</v>
      </c>
      <c r="H69" s="184">
        <v>3</v>
      </c>
      <c r="I69" s="116">
        <v>4</v>
      </c>
      <c r="J69" s="115">
        <v>7</v>
      </c>
      <c r="K69" s="184">
        <v>5</v>
      </c>
      <c r="L69" s="97">
        <v>6</v>
      </c>
      <c r="M69" s="115">
        <v>2</v>
      </c>
      <c r="N69" s="184">
        <v>7</v>
      </c>
      <c r="O69" s="97"/>
      <c r="P69" s="180">
        <v>0</v>
      </c>
      <c r="Q69" s="140" t="s">
        <v>334</v>
      </c>
      <c r="R69" s="140" t="s">
        <v>335</v>
      </c>
      <c r="S69" s="140" t="s">
        <v>336</v>
      </c>
      <c r="T69" s="141" t="s">
        <v>337</v>
      </c>
      <c r="V69" s="111"/>
      <c r="W69" s="111"/>
      <c r="X69" s="111"/>
      <c r="Y69" s="111"/>
    </row>
    <row r="70" spans="1:25" ht="17" thickBot="1">
      <c r="A70">
        <v>47</v>
      </c>
      <c r="B70">
        <v>54</v>
      </c>
      <c r="C70" s="147">
        <f t="shared" si="19"/>
        <v>7</v>
      </c>
      <c r="D70" s="147">
        <f t="shared" si="20"/>
        <v>0</v>
      </c>
      <c r="E70" s="190">
        <v>0</v>
      </c>
      <c r="F70" s="149">
        <v>2</v>
      </c>
      <c r="G70" s="150">
        <v>9</v>
      </c>
      <c r="H70" s="148">
        <v>3</v>
      </c>
      <c r="I70" s="151">
        <v>4</v>
      </c>
      <c r="J70" s="150">
        <v>7</v>
      </c>
      <c r="K70" s="190">
        <v>5</v>
      </c>
      <c r="L70" s="191">
        <v>6</v>
      </c>
      <c r="M70" s="178">
        <v>2</v>
      </c>
      <c r="N70" s="190">
        <v>7</v>
      </c>
      <c r="O70" s="191"/>
      <c r="P70" s="181">
        <v>0</v>
      </c>
      <c r="Q70" s="119">
        <f>IF(AND(S67&lt;=153,S67&gt;=125),9,0)</f>
        <v>0</v>
      </c>
      <c r="R70" s="119">
        <f>IF(AND(S67&lt;=124,S67&gt;=119),8,0)</f>
        <v>0</v>
      </c>
      <c r="S70" s="119">
        <f>IF(AND(S67&lt;=118,S67&gt;=110),7,0)</f>
        <v>0</v>
      </c>
      <c r="T70" s="152">
        <f>IF(AND(S67&lt;=109,S67&gt;=39),2,0)</f>
        <v>0</v>
      </c>
      <c r="V70" s="111"/>
      <c r="W70" s="111"/>
      <c r="X70" s="111"/>
      <c r="Y70" s="111"/>
    </row>
    <row r="71" spans="1:25" ht="18" thickTop="1" thickBot="1">
      <c r="A71">
        <v>60</v>
      </c>
      <c r="B71">
        <v>81</v>
      </c>
      <c r="C71" s="163">
        <f t="shared" ref="C71" si="21">ABS(A71-B71)</f>
        <v>21</v>
      </c>
      <c r="D71" s="163">
        <f t="shared" si="20"/>
        <v>0</v>
      </c>
      <c r="E71" s="135">
        <v>0</v>
      </c>
      <c r="F71" s="97">
        <v>2</v>
      </c>
      <c r="G71" s="115">
        <v>9</v>
      </c>
      <c r="H71" s="184">
        <v>3</v>
      </c>
      <c r="I71" s="116">
        <v>4</v>
      </c>
      <c r="J71" s="115">
        <v>7</v>
      </c>
      <c r="K71" s="184">
        <v>5</v>
      </c>
      <c r="L71" s="97">
        <v>6</v>
      </c>
      <c r="M71" s="115">
        <v>2</v>
      </c>
      <c r="N71" s="184">
        <v>7</v>
      </c>
      <c r="O71" s="97"/>
      <c r="P71" s="180">
        <v>0</v>
      </c>
      <c r="Q71" s="157"/>
      <c r="R71" s="153" t="s">
        <v>348</v>
      </c>
      <c r="S71" s="153">
        <f>SUM(D71:D74)</f>
        <v>0</v>
      </c>
      <c r="T71" s="154"/>
    </row>
    <row r="72" spans="1:25" ht="17" thickTop="1">
      <c r="A72">
        <v>61</v>
      </c>
      <c r="B72">
        <v>82</v>
      </c>
      <c r="C72" s="163">
        <f t="shared" ref="C72" si="22">ABS(A72-B72)</f>
        <v>21</v>
      </c>
      <c r="D72" s="163">
        <f t="shared" si="20"/>
        <v>0</v>
      </c>
      <c r="E72" s="135">
        <v>0</v>
      </c>
      <c r="F72" s="97">
        <v>2</v>
      </c>
      <c r="G72" s="115">
        <v>9</v>
      </c>
      <c r="H72" s="184">
        <v>3</v>
      </c>
      <c r="I72" s="116">
        <v>4</v>
      </c>
      <c r="J72" s="115">
        <v>7</v>
      </c>
      <c r="K72" s="184">
        <v>5</v>
      </c>
      <c r="L72" s="97">
        <v>6</v>
      </c>
      <c r="M72" s="115">
        <v>2</v>
      </c>
      <c r="N72" s="184">
        <v>7</v>
      </c>
      <c r="O72" s="97"/>
      <c r="P72" s="180">
        <v>0</v>
      </c>
      <c r="Q72" s="118" t="s">
        <v>380</v>
      </c>
      <c r="R72" s="118" t="s">
        <v>349</v>
      </c>
      <c r="S72" s="118">
        <f>SUM(Q74:T74)</f>
        <v>0</v>
      </c>
      <c r="T72" s="144"/>
    </row>
    <row r="73" spans="1:25" ht="16">
      <c r="A73">
        <v>49</v>
      </c>
      <c r="B73">
        <v>57</v>
      </c>
      <c r="C73" s="163">
        <f t="shared" ref="C73:C74" si="23">ABS(A73-B73)</f>
        <v>8</v>
      </c>
      <c r="D73" s="163">
        <f t="shared" si="20"/>
        <v>0</v>
      </c>
      <c r="E73" s="135">
        <v>0</v>
      </c>
      <c r="F73" s="97">
        <v>2</v>
      </c>
      <c r="G73" s="115">
        <v>9</v>
      </c>
      <c r="H73" s="184">
        <v>3</v>
      </c>
      <c r="I73" s="116">
        <v>4</v>
      </c>
      <c r="J73" s="115">
        <v>7</v>
      </c>
      <c r="K73" s="184">
        <v>5</v>
      </c>
      <c r="L73" s="97">
        <v>6</v>
      </c>
      <c r="M73" s="115">
        <v>2</v>
      </c>
      <c r="N73" s="184">
        <v>7</v>
      </c>
      <c r="O73" s="97"/>
      <c r="P73" s="180">
        <v>0</v>
      </c>
      <c r="Q73" s="140" t="s">
        <v>359</v>
      </c>
      <c r="R73" s="140" t="s">
        <v>360</v>
      </c>
      <c r="S73" s="140" t="s">
        <v>361</v>
      </c>
      <c r="T73" s="141" t="s">
        <v>362</v>
      </c>
    </row>
    <row r="74" spans="1:25" ht="17" thickBot="1">
      <c r="A74">
        <v>47</v>
      </c>
      <c r="B74">
        <v>54</v>
      </c>
      <c r="C74" s="147">
        <f t="shared" si="23"/>
        <v>7</v>
      </c>
      <c r="D74" s="147">
        <f t="shared" si="20"/>
        <v>0</v>
      </c>
      <c r="E74" s="190">
        <v>0</v>
      </c>
      <c r="F74" s="149">
        <v>2</v>
      </c>
      <c r="G74" s="150">
        <v>9</v>
      </c>
      <c r="H74" s="148">
        <v>3</v>
      </c>
      <c r="I74" s="151">
        <v>4</v>
      </c>
      <c r="J74" s="150">
        <v>7</v>
      </c>
      <c r="K74" s="190">
        <v>5</v>
      </c>
      <c r="L74" s="191">
        <v>6</v>
      </c>
      <c r="M74" s="178">
        <v>2</v>
      </c>
      <c r="N74" s="190">
        <v>7</v>
      </c>
      <c r="O74" s="191"/>
      <c r="P74" s="181">
        <v>0</v>
      </c>
      <c r="Q74" s="142">
        <f>IF(AND(S71&lt;=36,S71&gt;=29),9,0)</f>
        <v>0</v>
      </c>
      <c r="R74" s="142">
        <f>IF(AND(S71&lt;=28,D104&gt;=21),7,0)</f>
        <v>0</v>
      </c>
      <c r="S74" s="142">
        <f>IF(AND(S71&lt;=20,S71&gt;=16),2,0)</f>
        <v>0</v>
      </c>
      <c r="T74" s="143">
        <f>IF(AND(S71&lt;=15,S71&gt;=0),0,0)</f>
        <v>0</v>
      </c>
    </row>
    <row r="75" spans="1:25" ht="17" thickTop="1">
      <c r="A75">
        <v>60</v>
      </c>
      <c r="B75">
        <v>78</v>
      </c>
      <c r="C75" s="163">
        <f t="shared" ref="C75" si="24">ABS(A75-B75)</f>
        <v>18</v>
      </c>
      <c r="D75" s="163">
        <f t="shared" si="20"/>
        <v>0</v>
      </c>
      <c r="E75" s="135">
        <v>0</v>
      </c>
      <c r="F75" s="97">
        <v>3</v>
      </c>
      <c r="G75" s="115">
        <v>9</v>
      </c>
      <c r="H75" s="184">
        <v>4</v>
      </c>
      <c r="I75" s="116">
        <v>5</v>
      </c>
      <c r="J75" s="115">
        <v>7</v>
      </c>
      <c r="K75" s="184">
        <v>6</v>
      </c>
      <c r="L75" s="97">
        <v>7</v>
      </c>
      <c r="M75" s="115">
        <v>2</v>
      </c>
      <c r="N75" s="184">
        <v>7</v>
      </c>
      <c r="O75" s="97"/>
      <c r="P75" s="180">
        <v>0</v>
      </c>
      <c r="Q75" s="134"/>
      <c r="R75" s="134"/>
      <c r="S75" s="134"/>
      <c r="T75" s="134"/>
    </row>
    <row r="76" spans="1:25" ht="16">
      <c r="A76">
        <v>62</v>
      </c>
      <c r="B76">
        <v>83</v>
      </c>
      <c r="C76" s="163">
        <f t="shared" ref="C76" si="25">ABS(A76-B76)</f>
        <v>21</v>
      </c>
      <c r="D76" s="163">
        <f t="shared" si="20"/>
        <v>0</v>
      </c>
      <c r="E76" s="135">
        <v>0</v>
      </c>
      <c r="F76" s="97">
        <v>2</v>
      </c>
      <c r="G76" s="115">
        <v>9</v>
      </c>
      <c r="H76" s="184">
        <v>3</v>
      </c>
      <c r="I76" s="116">
        <v>4</v>
      </c>
      <c r="J76" s="115">
        <v>7</v>
      </c>
      <c r="K76" s="184">
        <v>5</v>
      </c>
      <c r="L76" s="97">
        <v>6</v>
      </c>
      <c r="M76" s="115">
        <v>2</v>
      </c>
      <c r="N76" s="184">
        <v>7</v>
      </c>
      <c r="O76" s="97"/>
      <c r="P76" s="180">
        <v>0</v>
      </c>
      <c r="Q76" s="134"/>
      <c r="R76" s="134"/>
      <c r="S76" s="134"/>
      <c r="T76" s="134"/>
    </row>
    <row r="77" spans="1:25" ht="16">
      <c r="A77">
        <v>63</v>
      </c>
      <c r="B77">
        <v>83</v>
      </c>
      <c r="C77" s="163">
        <f t="shared" ref="C77:C81" si="26">ABS(A77-B77)</f>
        <v>20</v>
      </c>
      <c r="D77" s="163">
        <f t="shared" si="20"/>
        <v>0</v>
      </c>
      <c r="E77" s="135">
        <v>0</v>
      </c>
      <c r="F77" s="97">
        <v>2</v>
      </c>
      <c r="G77" s="115">
        <v>9</v>
      </c>
      <c r="H77" s="184">
        <v>3</v>
      </c>
      <c r="I77" s="116">
        <v>4</v>
      </c>
      <c r="J77" s="115">
        <v>7</v>
      </c>
      <c r="K77" s="184">
        <v>5</v>
      </c>
      <c r="L77" s="97">
        <v>6</v>
      </c>
      <c r="M77" s="115">
        <v>2</v>
      </c>
      <c r="N77" s="184">
        <v>7</v>
      </c>
      <c r="O77" s="97"/>
      <c r="P77" s="180">
        <v>0</v>
      </c>
      <c r="Q77" s="134"/>
      <c r="R77" s="134"/>
      <c r="S77" s="134"/>
      <c r="T77" s="134"/>
    </row>
    <row r="78" spans="1:25" ht="17" thickBot="1">
      <c r="A78">
        <v>63</v>
      </c>
      <c r="B78">
        <v>82</v>
      </c>
      <c r="C78" s="163">
        <f t="shared" si="26"/>
        <v>19</v>
      </c>
      <c r="D78" s="163">
        <f t="shared" si="20"/>
        <v>0</v>
      </c>
      <c r="E78" s="135">
        <v>0</v>
      </c>
      <c r="F78" s="97">
        <v>2</v>
      </c>
      <c r="G78" s="115">
        <v>9</v>
      </c>
      <c r="H78" s="184">
        <v>3</v>
      </c>
      <c r="I78" s="116">
        <v>4</v>
      </c>
      <c r="J78" s="115">
        <v>7</v>
      </c>
      <c r="K78" s="184">
        <v>5</v>
      </c>
      <c r="L78" s="97">
        <v>6</v>
      </c>
      <c r="M78" s="115">
        <v>2</v>
      </c>
      <c r="N78" s="184">
        <v>7</v>
      </c>
      <c r="O78" s="97"/>
      <c r="P78" s="180">
        <v>0</v>
      </c>
      <c r="Q78" s="134"/>
      <c r="R78" s="134"/>
      <c r="S78" s="134"/>
      <c r="T78" s="134"/>
    </row>
    <row r="79" spans="1:25" ht="17" thickBot="1">
      <c r="A79">
        <v>54</v>
      </c>
      <c r="B79">
        <v>66</v>
      </c>
      <c r="C79" s="163">
        <f t="shared" si="26"/>
        <v>12</v>
      </c>
      <c r="D79" s="163">
        <f t="shared" si="20"/>
        <v>0</v>
      </c>
      <c r="E79" s="135">
        <v>0</v>
      </c>
      <c r="F79" s="97">
        <v>3</v>
      </c>
      <c r="G79" s="115">
        <v>9</v>
      </c>
      <c r="H79" s="184">
        <v>4</v>
      </c>
      <c r="I79" s="116">
        <v>5</v>
      </c>
      <c r="J79" s="115">
        <v>7</v>
      </c>
      <c r="K79" s="184">
        <v>6</v>
      </c>
      <c r="L79" s="97">
        <v>7</v>
      </c>
      <c r="M79" s="115">
        <v>2</v>
      </c>
      <c r="N79" s="184">
        <v>7</v>
      </c>
      <c r="O79" s="97"/>
      <c r="P79" s="180">
        <v>0</v>
      </c>
      <c r="Q79" s="156"/>
      <c r="R79" s="145" t="s">
        <v>348</v>
      </c>
      <c r="S79" s="145">
        <f>SUM(D75:D82)</f>
        <v>0</v>
      </c>
      <c r="T79" s="146"/>
    </row>
    <row r="80" spans="1:25" ht="17" thickTop="1">
      <c r="A80">
        <v>53</v>
      </c>
      <c r="B80">
        <v>64</v>
      </c>
      <c r="C80" s="163">
        <f t="shared" si="26"/>
        <v>11</v>
      </c>
      <c r="D80" s="163">
        <f t="shared" si="20"/>
        <v>0</v>
      </c>
      <c r="E80" s="135">
        <v>0</v>
      </c>
      <c r="F80" s="97">
        <v>2</v>
      </c>
      <c r="G80" s="115">
        <v>9</v>
      </c>
      <c r="H80" s="184">
        <v>3</v>
      </c>
      <c r="I80" s="116">
        <v>4</v>
      </c>
      <c r="J80" s="115">
        <v>7</v>
      </c>
      <c r="K80" s="184">
        <v>5</v>
      </c>
      <c r="L80" s="97">
        <v>6</v>
      </c>
      <c r="M80" s="115">
        <v>2</v>
      </c>
      <c r="N80" s="184">
        <v>7</v>
      </c>
      <c r="O80" s="97"/>
      <c r="P80" s="180">
        <v>0</v>
      </c>
      <c r="Q80" s="118" t="s">
        <v>363</v>
      </c>
      <c r="R80" s="118" t="s">
        <v>349</v>
      </c>
      <c r="S80" s="118">
        <f>SUM(Q82:T82)</f>
        <v>0</v>
      </c>
      <c r="T80" s="144"/>
    </row>
    <row r="81" spans="1:20" ht="16">
      <c r="A81">
        <v>51</v>
      </c>
      <c r="B81">
        <v>62</v>
      </c>
      <c r="C81" s="163">
        <f t="shared" si="26"/>
        <v>11</v>
      </c>
      <c r="D81" s="163">
        <f t="shared" si="20"/>
        <v>0</v>
      </c>
      <c r="E81" s="135">
        <v>0</v>
      </c>
      <c r="F81" s="97">
        <v>2</v>
      </c>
      <c r="G81" s="115">
        <v>9</v>
      </c>
      <c r="H81" s="184">
        <v>3</v>
      </c>
      <c r="I81" s="116">
        <v>4</v>
      </c>
      <c r="J81" s="115">
        <v>7</v>
      </c>
      <c r="K81" s="184">
        <v>5</v>
      </c>
      <c r="L81" s="97">
        <v>6</v>
      </c>
      <c r="M81" s="115">
        <v>2</v>
      </c>
      <c r="N81" s="184">
        <v>7</v>
      </c>
      <c r="O81" s="97"/>
      <c r="P81" s="180">
        <v>0</v>
      </c>
      <c r="Q81" s="140" t="s">
        <v>364</v>
      </c>
      <c r="R81" s="140" t="s">
        <v>365</v>
      </c>
      <c r="S81" s="140" t="s">
        <v>366</v>
      </c>
      <c r="T81" s="141" t="s">
        <v>367</v>
      </c>
    </row>
    <row r="82" spans="1:20" ht="17" thickBot="1">
      <c r="A82">
        <v>50</v>
      </c>
      <c r="B82">
        <v>59</v>
      </c>
      <c r="C82" s="147">
        <f t="shared" ref="C82" si="27">ABS(A82-B82)</f>
        <v>9</v>
      </c>
      <c r="D82" s="147">
        <f t="shared" si="20"/>
        <v>0</v>
      </c>
      <c r="E82" s="190">
        <v>0</v>
      </c>
      <c r="F82" s="149">
        <v>2</v>
      </c>
      <c r="G82" s="150">
        <v>9</v>
      </c>
      <c r="H82" s="148">
        <v>3</v>
      </c>
      <c r="I82" s="151">
        <v>4</v>
      </c>
      <c r="J82" s="150">
        <v>7</v>
      </c>
      <c r="K82" s="190">
        <v>5</v>
      </c>
      <c r="L82" s="191">
        <v>6</v>
      </c>
      <c r="M82" s="178">
        <v>2</v>
      </c>
      <c r="N82" s="190">
        <v>7</v>
      </c>
      <c r="O82" s="191"/>
      <c r="P82" s="181">
        <v>0</v>
      </c>
      <c r="Q82" s="142">
        <f>IF(AND(S79&lt;=72,S79&gt;=60),9,0)</f>
        <v>0</v>
      </c>
      <c r="R82" s="142">
        <f>IF(AND(S79&lt;=59,S79&gt;=40),7,0)</f>
        <v>0</v>
      </c>
      <c r="S82" s="142">
        <f>IF(AND(S79&lt;=39,S79&gt;=17),2,0)</f>
        <v>0</v>
      </c>
      <c r="T82" s="143">
        <f>IF(AND(S79&lt;=16,S79&gt;=0),0,0)</f>
        <v>0</v>
      </c>
    </row>
    <row r="83" spans="1:20" ht="17" thickTop="1">
      <c r="A83">
        <v>62</v>
      </c>
      <c r="B83">
        <v>83</v>
      </c>
      <c r="C83" s="163">
        <f t="shared" ref="C83:C88" si="28">ABS(A83-B83)</f>
        <v>21</v>
      </c>
      <c r="D83" s="163">
        <f t="shared" si="20"/>
        <v>0</v>
      </c>
      <c r="E83" s="135">
        <v>0</v>
      </c>
      <c r="F83" s="97">
        <v>2</v>
      </c>
      <c r="G83" s="115">
        <v>9</v>
      </c>
      <c r="H83" s="184">
        <v>3</v>
      </c>
      <c r="I83" s="116">
        <v>4</v>
      </c>
      <c r="J83" s="115">
        <v>7</v>
      </c>
      <c r="K83" s="184">
        <v>5</v>
      </c>
      <c r="L83" s="97">
        <v>6</v>
      </c>
      <c r="M83" s="115">
        <v>2</v>
      </c>
      <c r="N83" s="184">
        <v>7</v>
      </c>
      <c r="O83" s="97"/>
      <c r="P83" s="180">
        <v>0</v>
      </c>
      <c r="Q83" s="134"/>
      <c r="R83" s="134"/>
      <c r="S83" s="134"/>
      <c r="T83" s="134"/>
    </row>
    <row r="84" spans="1:20" ht="17" thickBot="1">
      <c r="A84">
        <v>63</v>
      </c>
      <c r="B84">
        <v>83</v>
      </c>
      <c r="C84" s="163">
        <f t="shared" si="28"/>
        <v>20</v>
      </c>
      <c r="D84" s="163">
        <f t="shared" si="20"/>
        <v>0</v>
      </c>
      <c r="E84" s="135">
        <v>0</v>
      </c>
      <c r="F84" s="97">
        <v>2</v>
      </c>
      <c r="G84" s="115">
        <v>9</v>
      </c>
      <c r="H84" s="184">
        <v>3</v>
      </c>
      <c r="I84" s="116">
        <v>4</v>
      </c>
      <c r="J84" s="115">
        <v>7</v>
      </c>
      <c r="K84" s="184">
        <v>5</v>
      </c>
      <c r="L84" s="97">
        <v>6</v>
      </c>
      <c r="M84" s="115">
        <v>2</v>
      </c>
      <c r="N84" s="184">
        <v>7</v>
      </c>
      <c r="O84" s="97"/>
      <c r="P84" s="180">
        <v>0</v>
      </c>
      <c r="Q84" s="134"/>
      <c r="R84" s="134"/>
      <c r="S84" s="134"/>
      <c r="T84" s="134"/>
    </row>
    <row r="85" spans="1:20" ht="17" thickBot="1">
      <c r="A85">
        <v>63</v>
      </c>
      <c r="B85">
        <v>82</v>
      </c>
      <c r="C85" s="163">
        <f t="shared" si="28"/>
        <v>19</v>
      </c>
      <c r="D85" s="163">
        <f t="shared" si="20"/>
        <v>0</v>
      </c>
      <c r="E85" s="135">
        <v>0</v>
      </c>
      <c r="F85" s="97">
        <v>2</v>
      </c>
      <c r="G85" s="115">
        <v>9</v>
      </c>
      <c r="H85" s="184">
        <v>3</v>
      </c>
      <c r="I85" s="116">
        <v>4</v>
      </c>
      <c r="J85" s="115">
        <v>7</v>
      </c>
      <c r="K85" s="184">
        <v>5</v>
      </c>
      <c r="L85" s="97">
        <v>6</v>
      </c>
      <c r="M85" s="115">
        <v>2</v>
      </c>
      <c r="N85" s="184">
        <v>7</v>
      </c>
      <c r="O85" s="97"/>
      <c r="P85" s="180">
        <v>0</v>
      </c>
      <c r="Q85" s="156"/>
      <c r="R85" s="145" t="s">
        <v>348</v>
      </c>
      <c r="S85" s="145">
        <f>SUM(D83:D88)</f>
        <v>0</v>
      </c>
      <c r="T85" s="146"/>
    </row>
    <row r="86" spans="1:20" ht="17" thickTop="1">
      <c r="A86">
        <v>55</v>
      </c>
      <c r="B86">
        <v>67</v>
      </c>
      <c r="C86" s="163">
        <f t="shared" si="28"/>
        <v>12</v>
      </c>
      <c r="D86" s="163">
        <f t="shared" si="20"/>
        <v>0</v>
      </c>
      <c r="E86" s="135">
        <v>0</v>
      </c>
      <c r="F86" s="97">
        <v>2</v>
      </c>
      <c r="G86" s="115">
        <v>9</v>
      </c>
      <c r="H86" s="184">
        <v>3</v>
      </c>
      <c r="I86" s="116">
        <v>4</v>
      </c>
      <c r="J86" s="115">
        <v>7</v>
      </c>
      <c r="K86" s="184">
        <v>5</v>
      </c>
      <c r="L86" s="97">
        <v>6</v>
      </c>
      <c r="M86" s="115">
        <v>2</v>
      </c>
      <c r="N86" s="184">
        <v>7</v>
      </c>
      <c r="O86" s="97"/>
      <c r="P86" s="180">
        <v>0</v>
      </c>
      <c r="Q86" s="118" t="s">
        <v>381</v>
      </c>
      <c r="R86" s="118" t="s">
        <v>349</v>
      </c>
      <c r="S86" s="118">
        <f>SUM(Q88:T88)</f>
        <v>0</v>
      </c>
      <c r="T86" s="144"/>
    </row>
    <row r="87" spans="1:20" ht="16">
      <c r="A87">
        <v>53</v>
      </c>
      <c r="B87">
        <v>64</v>
      </c>
      <c r="C87" s="163">
        <f t="shared" si="28"/>
        <v>11</v>
      </c>
      <c r="D87" s="163">
        <f t="shared" si="20"/>
        <v>0</v>
      </c>
      <c r="E87" s="135">
        <v>0</v>
      </c>
      <c r="F87" s="97">
        <v>2</v>
      </c>
      <c r="G87" s="115">
        <v>9</v>
      </c>
      <c r="H87" s="184">
        <v>3</v>
      </c>
      <c r="I87" s="116">
        <v>4</v>
      </c>
      <c r="J87" s="115">
        <v>7</v>
      </c>
      <c r="K87" s="184">
        <v>5</v>
      </c>
      <c r="L87" s="97">
        <v>6</v>
      </c>
      <c r="M87" s="115">
        <v>2</v>
      </c>
      <c r="N87" s="184">
        <v>7</v>
      </c>
      <c r="O87" s="97"/>
      <c r="P87" s="180">
        <v>0</v>
      </c>
      <c r="Q87" s="140" t="s">
        <v>370</v>
      </c>
      <c r="R87" s="140" t="s">
        <v>371</v>
      </c>
      <c r="S87" s="140" t="s">
        <v>372</v>
      </c>
      <c r="T87" s="141" t="s">
        <v>250</v>
      </c>
    </row>
    <row r="88" spans="1:20" ht="17" thickBot="1">
      <c r="A88">
        <v>51</v>
      </c>
      <c r="B88">
        <v>62</v>
      </c>
      <c r="C88" s="147">
        <f t="shared" si="28"/>
        <v>11</v>
      </c>
      <c r="D88" s="147">
        <f t="shared" si="20"/>
        <v>0</v>
      </c>
      <c r="E88" s="190">
        <v>0</v>
      </c>
      <c r="F88" s="149">
        <v>2</v>
      </c>
      <c r="G88" s="150">
        <v>9</v>
      </c>
      <c r="H88" s="148">
        <v>3</v>
      </c>
      <c r="I88" s="151">
        <v>4</v>
      </c>
      <c r="J88" s="150">
        <v>7</v>
      </c>
      <c r="K88" s="190">
        <v>5</v>
      </c>
      <c r="L88" s="191">
        <v>6</v>
      </c>
      <c r="M88" s="178">
        <v>2</v>
      </c>
      <c r="N88" s="190">
        <v>7</v>
      </c>
      <c r="O88" s="191"/>
      <c r="P88" s="181">
        <v>0</v>
      </c>
      <c r="Q88" s="119">
        <f>IF(AND(S85&lt;=54,S85&gt;=45),9,0)</f>
        <v>0</v>
      </c>
      <c r="R88" s="119">
        <f>IF(AND(S85&lt;=44,S85&gt;=29),7,0)</f>
        <v>0</v>
      </c>
      <c r="S88" s="119">
        <f>IF(AND(S85&lt;=28,S85&gt;=12),2,0)</f>
        <v>0</v>
      </c>
      <c r="T88" s="152">
        <f>IF(AND(S85&lt;=11,S85&gt;=0),0,0)</f>
        <v>0</v>
      </c>
    </row>
    <row r="89" spans="1:20" ht="18" thickTop="1" thickBot="1">
      <c r="A89">
        <v>60</v>
      </c>
      <c r="B89">
        <v>81</v>
      </c>
      <c r="C89" s="163">
        <f t="shared" ref="C89:C91" si="29">ABS(A89-B89)</f>
        <v>21</v>
      </c>
      <c r="D89" s="163">
        <f t="shared" si="20"/>
        <v>0</v>
      </c>
      <c r="E89" s="135">
        <v>0</v>
      </c>
      <c r="F89" s="97">
        <v>2</v>
      </c>
      <c r="G89" s="115">
        <v>9</v>
      </c>
      <c r="H89" s="184">
        <v>3</v>
      </c>
      <c r="I89" s="116">
        <v>4</v>
      </c>
      <c r="J89" s="115">
        <v>7</v>
      </c>
      <c r="K89" s="184">
        <v>5</v>
      </c>
      <c r="L89" s="97">
        <v>6</v>
      </c>
      <c r="M89" s="115">
        <v>2</v>
      </c>
      <c r="N89" s="184">
        <v>7</v>
      </c>
      <c r="O89" s="97"/>
      <c r="P89" s="180">
        <v>0</v>
      </c>
      <c r="Q89" s="157"/>
      <c r="R89" s="153" t="s">
        <v>348</v>
      </c>
      <c r="S89" s="153">
        <f>SUM(D89:D92)</f>
        <v>0</v>
      </c>
      <c r="T89" s="154"/>
    </row>
    <row r="90" spans="1:20" ht="17" thickTop="1">
      <c r="A90">
        <v>61</v>
      </c>
      <c r="B90">
        <v>82</v>
      </c>
      <c r="C90" s="163">
        <f t="shared" si="29"/>
        <v>21</v>
      </c>
      <c r="D90" s="163">
        <f t="shared" si="20"/>
        <v>0</v>
      </c>
      <c r="E90" s="135">
        <v>0</v>
      </c>
      <c r="F90" s="97">
        <v>2</v>
      </c>
      <c r="G90" s="115">
        <v>9</v>
      </c>
      <c r="H90" s="184">
        <v>3</v>
      </c>
      <c r="I90" s="116">
        <v>4</v>
      </c>
      <c r="J90" s="115">
        <v>7</v>
      </c>
      <c r="K90" s="184">
        <v>5</v>
      </c>
      <c r="L90" s="97">
        <v>6</v>
      </c>
      <c r="M90" s="115">
        <v>2</v>
      </c>
      <c r="N90" s="184">
        <v>7</v>
      </c>
      <c r="O90" s="97"/>
      <c r="P90" s="180">
        <v>0</v>
      </c>
      <c r="Q90" s="118" t="s">
        <v>382</v>
      </c>
      <c r="R90" s="118" t="s">
        <v>349</v>
      </c>
      <c r="S90" s="118">
        <f>SUM(Q92:T92)</f>
        <v>0</v>
      </c>
      <c r="T90" s="144"/>
    </row>
    <row r="91" spans="1:20" ht="16">
      <c r="A91">
        <v>49</v>
      </c>
      <c r="B91">
        <v>57</v>
      </c>
      <c r="C91" s="163">
        <f t="shared" si="29"/>
        <v>8</v>
      </c>
      <c r="D91" s="163">
        <f t="shared" si="20"/>
        <v>0</v>
      </c>
      <c r="E91" s="135">
        <v>0</v>
      </c>
      <c r="F91" s="97">
        <v>2</v>
      </c>
      <c r="G91" s="115">
        <v>9</v>
      </c>
      <c r="H91" s="184">
        <v>3</v>
      </c>
      <c r="I91" s="116">
        <v>4</v>
      </c>
      <c r="J91" s="115">
        <v>7</v>
      </c>
      <c r="K91" s="184">
        <v>5</v>
      </c>
      <c r="L91" s="97">
        <v>6</v>
      </c>
      <c r="M91" s="115">
        <v>2</v>
      </c>
      <c r="N91" s="184">
        <v>7</v>
      </c>
      <c r="O91" s="97"/>
      <c r="P91" s="180">
        <v>0</v>
      </c>
      <c r="Q91" s="140" t="s">
        <v>375</v>
      </c>
      <c r="R91" s="140" t="s">
        <v>376</v>
      </c>
      <c r="S91" s="140" t="s">
        <v>377</v>
      </c>
      <c r="T91" s="141" t="s">
        <v>209</v>
      </c>
    </row>
    <row r="92" spans="1:20" ht="17" thickBot="1">
      <c r="A92">
        <v>47</v>
      </c>
      <c r="B92">
        <v>54</v>
      </c>
      <c r="C92" s="147">
        <f t="shared" ref="C92" si="30">ABS(A92-B92)</f>
        <v>7</v>
      </c>
      <c r="D92" s="147">
        <f t="shared" si="20"/>
        <v>0</v>
      </c>
      <c r="E92" s="190">
        <v>0</v>
      </c>
      <c r="F92" s="149">
        <v>2</v>
      </c>
      <c r="G92" s="150">
        <v>9</v>
      </c>
      <c r="H92" s="148">
        <v>3</v>
      </c>
      <c r="I92" s="151">
        <v>4</v>
      </c>
      <c r="J92" s="150">
        <v>7</v>
      </c>
      <c r="K92" s="190">
        <v>5</v>
      </c>
      <c r="L92" s="191">
        <v>6</v>
      </c>
      <c r="M92" s="178">
        <v>2</v>
      </c>
      <c r="N92" s="190">
        <v>7</v>
      </c>
      <c r="O92" s="191"/>
      <c r="P92" s="181">
        <v>0</v>
      </c>
      <c r="Q92" s="142">
        <f>IF(AND(S89&lt;=36,S89&gt;=30),9,0)</f>
        <v>0</v>
      </c>
      <c r="R92" s="142">
        <f>IF(AND(S89&lt;=29,S89&gt;=22),7,0)</f>
        <v>0</v>
      </c>
      <c r="S92" s="142">
        <f>IF(AND(S89&lt;=28,S89&gt;=12),2,0)</f>
        <v>0</v>
      </c>
      <c r="T92" s="143">
        <f>IF(AND(S89&lt;=11,S89&gt;=0),0,0)</f>
        <v>0</v>
      </c>
    </row>
    <row r="93" spans="1:20" ht="18" thickTop="1" thickBot="1">
      <c r="A93">
        <v>63</v>
      </c>
      <c r="B93">
        <v>79</v>
      </c>
      <c r="C93" s="163">
        <f t="shared" ref="C93:C96" si="31">ABS(A93-B93)</f>
        <v>16</v>
      </c>
      <c r="D93" s="163">
        <f t="shared" si="20"/>
        <v>0</v>
      </c>
      <c r="E93" s="135">
        <v>0</v>
      </c>
      <c r="F93" s="97">
        <v>3</v>
      </c>
      <c r="G93" s="115">
        <v>9</v>
      </c>
      <c r="H93" s="184">
        <v>4</v>
      </c>
      <c r="I93" s="116">
        <v>4</v>
      </c>
      <c r="J93" s="115">
        <v>7</v>
      </c>
      <c r="K93" s="184">
        <v>5</v>
      </c>
      <c r="L93" s="97">
        <v>5</v>
      </c>
      <c r="M93" s="115">
        <v>2</v>
      </c>
      <c r="N93" s="184">
        <v>6</v>
      </c>
      <c r="O93" s="97"/>
      <c r="P93" s="180">
        <v>0</v>
      </c>
      <c r="Q93" s="134"/>
      <c r="R93" s="134"/>
      <c r="S93" s="134"/>
      <c r="T93" s="134"/>
    </row>
    <row r="94" spans="1:20" ht="17" thickBot="1">
      <c r="A94">
        <v>62</v>
      </c>
      <c r="B94">
        <v>78</v>
      </c>
      <c r="C94" s="163">
        <f t="shared" si="31"/>
        <v>16</v>
      </c>
      <c r="D94" s="163">
        <f t="shared" si="20"/>
        <v>0</v>
      </c>
      <c r="E94" s="135">
        <v>0</v>
      </c>
      <c r="F94" s="97">
        <v>3</v>
      </c>
      <c r="G94" s="115">
        <v>9</v>
      </c>
      <c r="H94" s="184">
        <v>4</v>
      </c>
      <c r="I94" s="116">
        <v>4</v>
      </c>
      <c r="J94" s="115">
        <v>7</v>
      </c>
      <c r="K94" s="184">
        <v>5</v>
      </c>
      <c r="L94" s="97">
        <v>5</v>
      </c>
      <c r="M94" s="115">
        <v>2</v>
      </c>
      <c r="N94" s="184">
        <v>6</v>
      </c>
      <c r="O94" s="97"/>
      <c r="P94" s="180">
        <v>0</v>
      </c>
      <c r="Q94" s="156"/>
      <c r="R94" s="145" t="s">
        <v>348</v>
      </c>
      <c r="S94" s="145">
        <f>SUM(D93:D96)</f>
        <v>0</v>
      </c>
      <c r="T94" s="146"/>
    </row>
    <row r="95" spans="1:20" ht="17" thickTop="1">
      <c r="A95">
        <v>60</v>
      </c>
      <c r="B95">
        <v>75</v>
      </c>
      <c r="C95" s="163">
        <f t="shared" si="31"/>
        <v>15</v>
      </c>
      <c r="D95" s="163">
        <f t="shared" si="20"/>
        <v>0</v>
      </c>
      <c r="E95" s="135">
        <v>0</v>
      </c>
      <c r="F95" s="97">
        <v>2</v>
      </c>
      <c r="G95" s="115">
        <v>9</v>
      </c>
      <c r="H95" s="184">
        <v>4</v>
      </c>
      <c r="I95" s="116">
        <v>4</v>
      </c>
      <c r="J95" s="115">
        <v>7</v>
      </c>
      <c r="K95" s="184">
        <v>5</v>
      </c>
      <c r="L95" s="97">
        <v>5</v>
      </c>
      <c r="M95" s="115">
        <v>2</v>
      </c>
      <c r="N95" s="184">
        <v>6</v>
      </c>
      <c r="O95" s="97"/>
      <c r="P95" s="180">
        <v>0</v>
      </c>
      <c r="Q95" s="118" t="s">
        <v>378</v>
      </c>
      <c r="R95" s="118" t="s">
        <v>349</v>
      </c>
      <c r="S95" s="118">
        <f>SUM(Q97:T97)</f>
        <v>0</v>
      </c>
      <c r="T95" s="144"/>
    </row>
    <row r="96" spans="1:20" ht="16">
      <c r="A96">
        <v>58</v>
      </c>
      <c r="B96">
        <v>73</v>
      </c>
      <c r="C96" s="163">
        <f t="shared" si="31"/>
        <v>15</v>
      </c>
      <c r="D96" s="163">
        <f t="shared" si="20"/>
        <v>0</v>
      </c>
      <c r="E96" s="135">
        <v>0</v>
      </c>
      <c r="F96" s="97">
        <v>2</v>
      </c>
      <c r="G96" s="115">
        <v>9</v>
      </c>
      <c r="H96" s="184">
        <v>4</v>
      </c>
      <c r="I96" s="116">
        <v>4</v>
      </c>
      <c r="J96" s="115">
        <v>7</v>
      </c>
      <c r="K96" s="184">
        <v>5</v>
      </c>
      <c r="L96" s="97">
        <v>5</v>
      </c>
      <c r="M96" s="115">
        <v>2</v>
      </c>
      <c r="N96" s="184">
        <v>6</v>
      </c>
      <c r="O96" s="97"/>
      <c r="P96" s="180">
        <v>0</v>
      </c>
      <c r="Q96" s="140" t="s">
        <v>375</v>
      </c>
      <c r="R96" s="140" t="s">
        <v>376</v>
      </c>
      <c r="S96" s="140" t="s">
        <v>377</v>
      </c>
      <c r="T96" s="141" t="s">
        <v>209</v>
      </c>
    </row>
    <row r="97" spans="1:20" ht="17" thickBot="1">
      <c r="A97">
        <v>57</v>
      </c>
      <c r="B97">
        <v>70</v>
      </c>
      <c r="C97" s="164">
        <f t="shared" ref="C97" si="32">ABS(A97-B97)</f>
        <v>13</v>
      </c>
      <c r="D97" s="164">
        <f t="shared" si="20"/>
        <v>0</v>
      </c>
      <c r="E97" s="193">
        <v>0</v>
      </c>
      <c r="F97" s="168">
        <v>2</v>
      </c>
      <c r="G97" s="175">
        <v>9</v>
      </c>
      <c r="H97" s="193">
        <v>4</v>
      </c>
      <c r="I97" s="187">
        <v>4</v>
      </c>
      <c r="J97" s="175">
        <v>7</v>
      </c>
      <c r="K97" s="193">
        <v>5</v>
      </c>
      <c r="L97" s="168">
        <v>5</v>
      </c>
      <c r="M97" s="175">
        <v>2</v>
      </c>
      <c r="N97" s="193">
        <v>6</v>
      </c>
      <c r="O97" s="168"/>
      <c r="P97" s="183">
        <v>0</v>
      </c>
      <c r="Q97" s="142">
        <f>IF(AND(S94&lt;=36,S94&gt;=30),9,0)</f>
        <v>0</v>
      </c>
      <c r="R97" s="142">
        <f>IF(AND(S94&lt;=29,S94&gt;=22),7,0)</f>
        <v>0</v>
      </c>
      <c r="S97" s="142">
        <f>IF(AND(S94&lt;=21,S94&gt;=10),2,0)</f>
        <v>0</v>
      </c>
      <c r="T97" s="143">
        <f>IF(AND(S94&lt;=9,S94&gt;=0),0,0)</f>
        <v>0</v>
      </c>
    </row>
  </sheetData>
  <mergeCells count="8">
    <mergeCell ref="E1:G1"/>
    <mergeCell ref="H1:J1"/>
    <mergeCell ref="K1:M1"/>
    <mergeCell ref="N1:P1"/>
    <mergeCell ref="A1:A2"/>
    <mergeCell ref="B1:B2"/>
    <mergeCell ref="C1:C2"/>
    <mergeCell ref="D1:D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9" tint="0.59999389629810485"/>
  </sheetPr>
  <dimension ref="A1:J121"/>
  <sheetViews>
    <sheetView topLeftCell="A66" zoomScale="70" zoomScaleNormal="70" workbookViewId="0">
      <selection activeCell="B120" sqref="B120"/>
    </sheetView>
  </sheetViews>
  <sheetFormatPr baseColWidth="10" defaultColWidth="8.83203125" defaultRowHeight="16"/>
  <cols>
    <col min="1" max="1" width="49.83203125" style="111" customWidth="1"/>
    <col min="2" max="2" width="23.33203125" style="111" bestFit="1" customWidth="1"/>
    <col min="3" max="3" width="35.5" style="111" bestFit="1" customWidth="1"/>
    <col min="4" max="4" width="69.83203125" style="111" bestFit="1" customWidth="1"/>
    <col min="5" max="5" width="12.5" style="111" customWidth="1"/>
    <col min="6" max="6" width="17.1640625" style="111" bestFit="1" customWidth="1"/>
    <col min="7" max="8" width="19.83203125" style="111" bestFit="1" customWidth="1"/>
    <col min="9" max="9" width="17.1640625" style="111" bestFit="1" customWidth="1"/>
    <col min="10" max="10" width="7.83203125" style="111" bestFit="1" customWidth="1"/>
    <col min="11" max="256" width="12.5" style="111" customWidth="1"/>
    <col min="257" max="257" width="48.1640625" style="111" bestFit="1" customWidth="1"/>
    <col min="258" max="258" width="23.33203125" style="111" bestFit="1" customWidth="1"/>
    <col min="259" max="259" width="35.5" style="111" bestFit="1" customWidth="1"/>
    <col min="260" max="260" width="69.83203125" style="111" bestFit="1" customWidth="1"/>
    <col min="261" max="261" width="12.5" style="111" customWidth="1"/>
    <col min="262" max="262" width="17.1640625" style="111" bestFit="1" customWidth="1"/>
    <col min="263" max="264" width="19.83203125" style="111" bestFit="1" customWidth="1"/>
    <col min="265" max="265" width="17.1640625" style="111" bestFit="1" customWidth="1"/>
    <col min="266" max="266" width="7.83203125" style="111" bestFit="1" customWidth="1"/>
    <col min="267" max="512" width="12.5" style="111" customWidth="1"/>
    <col min="513" max="513" width="48.1640625" style="111" bestFit="1" customWidth="1"/>
    <col min="514" max="514" width="23.33203125" style="111" bestFit="1" customWidth="1"/>
    <col min="515" max="515" width="35.5" style="111" bestFit="1" customWidth="1"/>
    <col min="516" max="516" width="69.83203125" style="111" bestFit="1" customWidth="1"/>
    <col min="517" max="517" width="12.5" style="111" customWidth="1"/>
    <col min="518" max="518" width="17.1640625" style="111" bestFit="1" customWidth="1"/>
    <col min="519" max="520" width="19.83203125" style="111" bestFit="1" customWidth="1"/>
    <col min="521" max="521" width="17.1640625" style="111" bestFit="1" customWidth="1"/>
    <col min="522" max="522" width="7.83203125" style="111" bestFit="1" customWidth="1"/>
    <col min="523" max="768" width="12.5" style="111" customWidth="1"/>
    <col min="769" max="769" width="48.1640625" style="111" bestFit="1" customWidth="1"/>
    <col min="770" max="770" width="23.33203125" style="111" bestFit="1" customWidth="1"/>
    <col min="771" max="771" width="35.5" style="111" bestFit="1" customWidth="1"/>
    <col min="772" max="772" width="69.83203125" style="111" bestFit="1" customWidth="1"/>
    <col min="773" max="773" width="12.5" style="111" customWidth="1"/>
    <col min="774" max="774" width="17.1640625" style="111" bestFit="1" customWidth="1"/>
    <col min="775" max="776" width="19.83203125" style="111" bestFit="1" customWidth="1"/>
    <col min="777" max="777" width="17.1640625" style="111" bestFit="1" customWidth="1"/>
    <col min="778" max="778" width="7.83203125" style="111" bestFit="1" customWidth="1"/>
    <col min="779" max="1024" width="12.5" style="111" customWidth="1"/>
    <col min="1025" max="1025" width="48.1640625" style="111" bestFit="1" customWidth="1"/>
    <col min="1026" max="1026" width="23.33203125" style="111" bestFit="1" customWidth="1"/>
    <col min="1027" max="1027" width="35.5" style="111" bestFit="1" customWidth="1"/>
    <col min="1028" max="1028" width="69.83203125" style="111" bestFit="1" customWidth="1"/>
    <col min="1029" max="1029" width="12.5" style="111" customWidth="1"/>
    <col min="1030" max="1030" width="17.1640625" style="111" bestFit="1" customWidth="1"/>
    <col min="1031" max="1032" width="19.83203125" style="111" bestFit="1" customWidth="1"/>
    <col min="1033" max="1033" width="17.1640625" style="111" bestFit="1" customWidth="1"/>
    <col min="1034" max="1034" width="7.83203125" style="111" bestFit="1" customWidth="1"/>
    <col min="1035" max="1280" width="12.5" style="111" customWidth="1"/>
    <col min="1281" max="1281" width="48.1640625" style="111" bestFit="1" customWidth="1"/>
    <col min="1282" max="1282" width="23.33203125" style="111" bestFit="1" customWidth="1"/>
    <col min="1283" max="1283" width="35.5" style="111" bestFit="1" customWidth="1"/>
    <col min="1284" max="1284" width="69.83203125" style="111" bestFit="1" customWidth="1"/>
    <col min="1285" max="1285" width="12.5" style="111" customWidth="1"/>
    <col min="1286" max="1286" width="17.1640625" style="111" bestFit="1" customWidth="1"/>
    <col min="1287" max="1288" width="19.83203125" style="111" bestFit="1" customWidth="1"/>
    <col min="1289" max="1289" width="17.1640625" style="111" bestFit="1" customWidth="1"/>
    <col min="1290" max="1290" width="7.83203125" style="111" bestFit="1" customWidth="1"/>
    <col min="1291" max="1536" width="12.5" style="111" customWidth="1"/>
    <col min="1537" max="1537" width="48.1640625" style="111" bestFit="1" customWidth="1"/>
    <col min="1538" max="1538" width="23.33203125" style="111" bestFit="1" customWidth="1"/>
    <col min="1539" max="1539" width="35.5" style="111" bestFit="1" customWidth="1"/>
    <col min="1540" max="1540" width="69.83203125" style="111" bestFit="1" customWidth="1"/>
    <col min="1541" max="1541" width="12.5" style="111" customWidth="1"/>
    <col min="1542" max="1542" width="17.1640625" style="111" bestFit="1" customWidth="1"/>
    <col min="1543" max="1544" width="19.83203125" style="111" bestFit="1" customWidth="1"/>
    <col min="1545" max="1545" width="17.1640625" style="111" bestFit="1" customWidth="1"/>
    <col min="1546" max="1546" width="7.83203125" style="111" bestFit="1" customWidth="1"/>
    <col min="1547" max="1792" width="12.5" style="111" customWidth="1"/>
    <col min="1793" max="1793" width="48.1640625" style="111" bestFit="1" customWidth="1"/>
    <col min="1794" max="1794" width="23.33203125" style="111" bestFit="1" customWidth="1"/>
    <col min="1795" max="1795" width="35.5" style="111" bestFit="1" customWidth="1"/>
    <col min="1796" max="1796" width="69.83203125" style="111" bestFit="1" customWidth="1"/>
    <col min="1797" max="1797" width="12.5" style="111" customWidth="1"/>
    <col min="1798" max="1798" width="17.1640625" style="111" bestFit="1" customWidth="1"/>
    <col min="1799" max="1800" width="19.83203125" style="111" bestFit="1" customWidth="1"/>
    <col min="1801" max="1801" width="17.1640625" style="111" bestFit="1" customWidth="1"/>
    <col min="1802" max="1802" width="7.83203125" style="111" bestFit="1" customWidth="1"/>
    <col min="1803" max="2048" width="12.5" style="111" customWidth="1"/>
    <col min="2049" max="2049" width="48.1640625" style="111" bestFit="1" customWidth="1"/>
    <col min="2050" max="2050" width="23.33203125" style="111" bestFit="1" customWidth="1"/>
    <col min="2051" max="2051" width="35.5" style="111" bestFit="1" customWidth="1"/>
    <col min="2052" max="2052" width="69.83203125" style="111" bestFit="1" customWidth="1"/>
    <col min="2053" max="2053" width="12.5" style="111" customWidth="1"/>
    <col min="2054" max="2054" width="17.1640625" style="111" bestFit="1" customWidth="1"/>
    <col min="2055" max="2056" width="19.83203125" style="111" bestFit="1" customWidth="1"/>
    <col min="2057" max="2057" width="17.1640625" style="111" bestFit="1" customWidth="1"/>
    <col min="2058" max="2058" width="7.83203125" style="111" bestFit="1" customWidth="1"/>
    <col min="2059" max="2304" width="12.5" style="111" customWidth="1"/>
    <col min="2305" max="2305" width="48.1640625" style="111" bestFit="1" customWidth="1"/>
    <col min="2306" max="2306" width="23.33203125" style="111" bestFit="1" customWidth="1"/>
    <col min="2307" max="2307" width="35.5" style="111" bestFit="1" customWidth="1"/>
    <col min="2308" max="2308" width="69.83203125" style="111" bestFit="1" customWidth="1"/>
    <col min="2309" max="2309" width="12.5" style="111" customWidth="1"/>
    <col min="2310" max="2310" width="17.1640625" style="111" bestFit="1" customWidth="1"/>
    <col min="2311" max="2312" width="19.83203125" style="111" bestFit="1" customWidth="1"/>
    <col min="2313" max="2313" width="17.1640625" style="111" bestFit="1" customWidth="1"/>
    <col min="2314" max="2314" width="7.83203125" style="111" bestFit="1" customWidth="1"/>
    <col min="2315" max="2560" width="12.5" style="111" customWidth="1"/>
    <col min="2561" max="2561" width="48.1640625" style="111" bestFit="1" customWidth="1"/>
    <col min="2562" max="2562" width="23.33203125" style="111" bestFit="1" customWidth="1"/>
    <col min="2563" max="2563" width="35.5" style="111" bestFit="1" customWidth="1"/>
    <col min="2564" max="2564" width="69.83203125" style="111" bestFit="1" customWidth="1"/>
    <col min="2565" max="2565" width="12.5" style="111" customWidth="1"/>
    <col min="2566" max="2566" width="17.1640625" style="111" bestFit="1" customWidth="1"/>
    <col min="2567" max="2568" width="19.83203125" style="111" bestFit="1" customWidth="1"/>
    <col min="2569" max="2569" width="17.1640625" style="111" bestFit="1" customWidth="1"/>
    <col min="2570" max="2570" width="7.83203125" style="111" bestFit="1" customWidth="1"/>
    <col min="2571" max="2816" width="12.5" style="111" customWidth="1"/>
    <col min="2817" max="2817" width="48.1640625" style="111" bestFit="1" customWidth="1"/>
    <col min="2818" max="2818" width="23.33203125" style="111" bestFit="1" customWidth="1"/>
    <col min="2819" max="2819" width="35.5" style="111" bestFit="1" customWidth="1"/>
    <col min="2820" max="2820" width="69.83203125" style="111" bestFit="1" customWidth="1"/>
    <col min="2821" max="2821" width="12.5" style="111" customWidth="1"/>
    <col min="2822" max="2822" width="17.1640625" style="111" bestFit="1" customWidth="1"/>
    <col min="2823" max="2824" width="19.83203125" style="111" bestFit="1" customWidth="1"/>
    <col min="2825" max="2825" width="17.1640625" style="111" bestFit="1" customWidth="1"/>
    <col min="2826" max="2826" width="7.83203125" style="111" bestFit="1" customWidth="1"/>
    <col min="2827" max="3072" width="12.5" style="111" customWidth="1"/>
    <col min="3073" max="3073" width="48.1640625" style="111" bestFit="1" customWidth="1"/>
    <col min="3074" max="3074" width="23.33203125" style="111" bestFit="1" customWidth="1"/>
    <col min="3075" max="3075" width="35.5" style="111" bestFit="1" customWidth="1"/>
    <col min="3076" max="3076" width="69.83203125" style="111" bestFit="1" customWidth="1"/>
    <col min="3077" max="3077" width="12.5" style="111" customWidth="1"/>
    <col min="3078" max="3078" width="17.1640625" style="111" bestFit="1" customWidth="1"/>
    <col min="3079" max="3080" width="19.83203125" style="111" bestFit="1" customWidth="1"/>
    <col min="3081" max="3081" width="17.1640625" style="111" bestFit="1" customWidth="1"/>
    <col min="3082" max="3082" width="7.83203125" style="111" bestFit="1" customWidth="1"/>
    <col min="3083" max="3328" width="12.5" style="111" customWidth="1"/>
    <col min="3329" max="3329" width="48.1640625" style="111" bestFit="1" customWidth="1"/>
    <col min="3330" max="3330" width="23.33203125" style="111" bestFit="1" customWidth="1"/>
    <col min="3331" max="3331" width="35.5" style="111" bestFit="1" customWidth="1"/>
    <col min="3332" max="3332" width="69.83203125" style="111" bestFit="1" customWidth="1"/>
    <col min="3333" max="3333" width="12.5" style="111" customWidth="1"/>
    <col min="3334" max="3334" width="17.1640625" style="111" bestFit="1" customWidth="1"/>
    <col min="3335" max="3336" width="19.83203125" style="111" bestFit="1" customWidth="1"/>
    <col min="3337" max="3337" width="17.1640625" style="111" bestFit="1" customWidth="1"/>
    <col min="3338" max="3338" width="7.83203125" style="111" bestFit="1" customWidth="1"/>
    <col min="3339" max="3584" width="12.5" style="111" customWidth="1"/>
    <col min="3585" max="3585" width="48.1640625" style="111" bestFit="1" customWidth="1"/>
    <col min="3586" max="3586" width="23.33203125" style="111" bestFit="1" customWidth="1"/>
    <col min="3587" max="3587" width="35.5" style="111" bestFit="1" customWidth="1"/>
    <col min="3588" max="3588" width="69.83203125" style="111" bestFit="1" customWidth="1"/>
    <col min="3589" max="3589" width="12.5" style="111" customWidth="1"/>
    <col min="3590" max="3590" width="17.1640625" style="111" bestFit="1" customWidth="1"/>
    <col min="3591" max="3592" width="19.83203125" style="111" bestFit="1" customWidth="1"/>
    <col min="3593" max="3593" width="17.1640625" style="111" bestFit="1" customWidth="1"/>
    <col min="3594" max="3594" width="7.83203125" style="111" bestFit="1" customWidth="1"/>
    <col min="3595" max="3840" width="12.5" style="111" customWidth="1"/>
    <col min="3841" max="3841" width="48.1640625" style="111" bestFit="1" customWidth="1"/>
    <col min="3842" max="3842" width="23.33203125" style="111" bestFit="1" customWidth="1"/>
    <col min="3843" max="3843" width="35.5" style="111" bestFit="1" customWidth="1"/>
    <col min="3844" max="3844" width="69.83203125" style="111" bestFit="1" customWidth="1"/>
    <col min="3845" max="3845" width="12.5" style="111" customWidth="1"/>
    <col min="3846" max="3846" width="17.1640625" style="111" bestFit="1" customWidth="1"/>
    <col min="3847" max="3848" width="19.83203125" style="111" bestFit="1" customWidth="1"/>
    <col min="3849" max="3849" width="17.1640625" style="111" bestFit="1" customWidth="1"/>
    <col min="3850" max="3850" width="7.83203125" style="111" bestFit="1" customWidth="1"/>
    <col min="3851" max="4096" width="12.5" style="111" customWidth="1"/>
    <col min="4097" max="4097" width="48.1640625" style="111" bestFit="1" customWidth="1"/>
    <col min="4098" max="4098" width="23.33203125" style="111" bestFit="1" customWidth="1"/>
    <col min="4099" max="4099" width="35.5" style="111" bestFit="1" customWidth="1"/>
    <col min="4100" max="4100" width="69.83203125" style="111" bestFit="1" customWidth="1"/>
    <col min="4101" max="4101" width="12.5" style="111" customWidth="1"/>
    <col min="4102" max="4102" width="17.1640625" style="111" bestFit="1" customWidth="1"/>
    <col min="4103" max="4104" width="19.83203125" style="111" bestFit="1" customWidth="1"/>
    <col min="4105" max="4105" width="17.1640625" style="111" bestFit="1" customWidth="1"/>
    <col min="4106" max="4106" width="7.83203125" style="111" bestFit="1" customWidth="1"/>
    <col min="4107" max="4352" width="12.5" style="111" customWidth="1"/>
    <col min="4353" max="4353" width="48.1640625" style="111" bestFit="1" customWidth="1"/>
    <col min="4354" max="4354" width="23.33203125" style="111" bestFit="1" customWidth="1"/>
    <col min="4355" max="4355" width="35.5" style="111" bestFit="1" customWidth="1"/>
    <col min="4356" max="4356" width="69.83203125" style="111" bestFit="1" customWidth="1"/>
    <col min="4357" max="4357" width="12.5" style="111" customWidth="1"/>
    <col min="4358" max="4358" width="17.1640625" style="111" bestFit="1" customWidth="1"/>
    <col min="4359" max="4360" width="19.83203125" style="111" bestFit="1" customWidth="1"/>
    <col min="4361" max="4361" width="17.1640625" style="111" bestFit="1" customWidth="1"/>
    <col min="4362" max="4362" width="7.83203125" style="111" bestFit="1" customWidth="1"/>
    <col min="4363" max="4608" width="12.5" style="111" customWidth="1"/>
    <col min="4609" max="4609" width="48.1640625" style="111" bestFit="1" customWidth="1"/>
    <col min="4610" max="4610" width="23.33203125" style="111" bestFit="1" customWidth="1"/>
    <col min="4611" max="4611" width="35.5" style="111" bestFit="1" customWidth="1"/>
    <col min="4612" max="4612" width="69.83203125" style="111" bestFit="1" customWidth="1"/>
    <col min="4613" max="4613" width="12.5" style="111" customWidth="1"/>
    <col min="4614" max="4614" width="17.1640625" style="111" bestFit="1" customWidth="1"/>
    <col min="4615" max="4616" width="19.83203125" style="111" bestFit="1" customWidth="1"/>
    <col min="4617" max="4617" width="17.1640625" style="111" bestFit="1" customWidth="1"/>
    <col min="4618" max="4618" width="7.83203125" style="111" bestFit="1" customWidth="1"/>
    <col min="4619" max="4864" width="12.5" style="111" customWidth="1"/>
    <col min="4865" max="4865" width="48.1640625" style="111" bestFit="1" customWidth="1"/>
    <col min="4866" max="4866" width="23.33203125" style="111" bestFit="1" customWidth="1"/>
    <col min="4867" max="4867" width="35.5" style="111" bestFit="1" customWidth="1"/>
    <col min="4868" max="4868" width="69.83203125" style="111" bestFit="1" customWidth="1"/>
    <col min="4869" max="4869" width="12.5" style="111" customWidth="1"/>
    <col min="4870" max="4870" width="17.1640625" style="111" bestFit="1" customWidth="1"/>
    <col min="4871" max="4872" width="19.83203125" style="111" bestFit="1" customWidth="1"/>
    <col min="4873" max="4873" width="17.1640625" style="111" bestFit="1" customWidth="1"/>
    <col min="4874" max="4874" width="7.83203125" style="111" bestFit="1" customWidth="1"/>
    <col min="4875" max="5120" width="12.5" style="111" customWidth="1"/>
    <col min="5121" max="5121" width="48.1640625" style="111" bestFit="1" customWidth="1"/>
    <col min="5122" max="5122" width="23.33203125" style="111" bestFit="1" customWidth="1"/>
    <col min="5123" max="5123" width="35.5" style="111" bestFit="1" customWidth="1"/>
    <col min="5124" max="5124" width="69.83203125" style="111" bestFit="1" customWidth="1"/>
    <col min="5125" max="5125" width="12.5" style="111" customWidth="1"/>
    <col min="5126" max="5126" width="17.1640625" style="111" bestFit="1" customWidth="1"/>
    <col min="5127" max="5128" width="19.83203125" style="111" bestFit="1" customWidth="1"/>
    <col min="5129" max="5129" width="17.1640625" style="111" bestFit="1" customWidth="1"/>
    <col min="5130" max="5130" width="7.83203125" style="111" bestFit="1" customWidth="1"/>
    <col min="5131" max="5376" width="12.5" style="111" customWidth="1"/>
    <col min="5377" max="5377" width="48.1640625" style="111" bestFit="1" customWidth="1"/>
    <col min="5378" max="5378" width="23.33203125" style="111" bestFit="1" customWidth="1"/>
    <col min="5379" max="5379" width="35.5" style="111" bestFit="1" customWidth="1"/>
    <col min="5380" max="5380" width="69.83203125" style="111" bestFit="1" customWidth="1"/>
    <col min="5381" max="5381" width="12.5" style="111" customWidth="1"/>
    <col min="5382" max="5382" width="17.1640625" style="111" bestFit="1" customWidth="1"/>
    <col min="5383" max="5384" width="19.83203125" style="111" bestFit="1" customWidth="1"/>
    <col min="5385" max="5385" width="17.1640625" style="111" bestFit="1" customWidth="1"/>
    <col min="5386" max="5386" width="7.83203125" style="111" bestFit="1" customWidth="1"/>
    <col min="5387" max="5632" width="12.5" style="111" customWidth="1"/>
    <col min="5633" max="5633" width="48.1640625" style="111" bestFit="1" customWidth="1"/>
    <col min="5634" max="5634" width="23.33203125" style="111" bestFit="1" customWidth="1"/>
    <col min="5635" max="5635" width="35.5" style="111" bestFit="1" customWidth="1"/>
    <col min="5636" max="5636" width="69.83203125" style="111" bestFit="1" customWidth="1"/>
    <col min="5637" max="5637" width="12.5" style="111" customWidth="1"/>
    <col min="5638" max="5638" width="17.1640625" style="111" bestFit="1" customWidth="1"/>
    <col min="5639" max="5640" width="19.83203125" style="111" bestFit="1" customWidth="1"/>
    <col min="5641" max="5641" width="17.1640625" style="111" bestFit="1" customWidth="1"/>
    <col min="5642" max="5642" width="7.83203125" style="111" bestFit="1" customWidth="1"/>
    <col min="5643" max="5888" width="12.5" style="111" customWidth="1"/>
    <col min="5889" max="5889" width="48.1640625" style="111" bestFit="1" customWidth="1"/>
    <col min="5890" max="5890" width="23.33203125" style="111" bestFit="1" customWidth="1"/>
    <col min="5891" max="5891" width="35.5" style="111" bestFit="1" customWidth="1"/>
    <col min="5892" max="5892" width="69.83203125" style="111" bestFit="1" customWidth="1"/>
    <col min="5893" max="5893" width="12.5" style="111" customWidth="1"/>
    <col min="5894" max="5894" width="17.1640625" style="111" bestFit="1" customWidth="1"/>
    <col min="5895" max="5896" width="19.83203125" style="111" bestFit="1" customWidth="1"/>
    <col min="5897" max="5897" width="17.1640625" style="111" bestFit="1" customWidth="1"/>
    <col min="5898" max="5898" width="7.83203125" style="111" bestFit="1" customWidth="1"/>
    <col min="5899" max="6144" width="12.5" style="111" customWidth="1"/>
    <col min="6145" max="6145" width="48.1640625" style="111" bestFit="1" customWidth="1"/>
    <col min="6146" max="6146" width="23.33203125" style="111" bestFit="1" customWidth="1"/>
    <col min="6147" max="6147" width="35.5" style="111" bestFit="1" customWidth="1"/>
    <col min="6148" max="6148" width="69.83203125" style="111" bestFit="1" customWidth="1"/>
    <col min="6149" max="6149" width="12.5" style="111" customWidth="1"/>
    <col min="6150" max="6150" width="17.1640625" style="111" bestFit="1" customWidth="1"/>
    <col min="6151" max="6152" width="19.83203125" style="111" bestFit="1" customWidth="1"/>
    <col min="6153" max="6153" width="17.1640625" style="111" bestFit="1" customWidth="1"/>
    <col min="6154" max="6154" width="7.83203125" style="111" bestFit="1" customWidth="1"/>
    <col min="6155" max="6400" width="12.5" style="111" customWidth="1"/>
    <col min="6401" max="6401" width="48.1640625" style="111" bestFit="1" customWidth="1"/>
    <col min="6402" max="6402" width="23.33203125" style="111" bestFit="1" customWidth="1"/>
    <col min="6403" max="6403" width="35.5" style="111" bestFit="1" customWidth="1"/>
    <col min="6404" max="6404" width="69.83203125" style="111" bestFit="1" customWidth="1"/>
    <col min="6405" max="6405" width="12.5" style="111" customWidth="1"/>
    <col min="6406" max="6406" width="17.1640625" style="111" bestFit="1" customWidth="1"/>
    <col min="6407" max="6408" width="19.83203125" style="111" bestFit="1" customWidth="1"/>
    <col min="6409" max="6409" width="17.1640625" style="111" bestFit="1" customWidth="1"/>
    <col min="6410" max="6410" width="7.83203125" style="111" bestFit="1" customWidth="1"/>
    <col min="6411" max="6656" width="12.5" style="111" customWidth="1"/>
    <col min="6657" max="6657" width="48.1640625" style="111" bestFit="1" customWidth="1"/>
    <col min="6658" max="6658" width="23.33203125" style="111" bestFit="1" customWidth="1"/>
    <col min="6659" max="6659" width="35.5" style="111" bestFit="1" customWidth="1"/>
    <col min="6660" max="6660" width="69.83203125" style="111" bestFit="1" customWidth="1"/>
    <col min="6661" max="6661" width="12.5" style="111" customWidth="1"/>
    <col min="6662" max="6662" width="17.1640625" style="111" bestFit="1" customWidth="1"/>
    <col min="6663" max="6664" width="19.83203125" style="111" bestFit="1" customWidth="1"/>
    <col min="6665" max="6665" width="17.1640625" style="111" bestFit="1" customWidth="1"/>
    <col min="6666" max="6666" width="7.83203125" style="111" bestFit="1" customWidth="1"/>
    <col min="6667" max="6912" width="12.5" style="111" customWidth="1"/>
    <col min="6913" max="6913" width="48.1640625" style="111" bestFit="1" customWidth="1"/>
    <col min="6914" max="6914" width="23.33203125" style="111" bestFit="1" customWidth="1"/>
    <col min="6915" max="6915" width="35.5" style="111" bestFit="1" customWidth="1"/>
    <col min="6916" max="6916" width="69.83203125" style="111" bestFit="1" customWidth="1"/>
    <col min="6917" max="6917" width="12.5" style="111" customWidth="1"/>
    <col min="6918" max="6918" width="17.1640625" style="111" bestFit="1" customWidth="1"/>
    <col min="6919" max="6920" width="19.83203125" style="111" bestFit="1" customWidth="1"/>
    <col min="6921" max="6921" width="17.1640625" style="111" bestFit="1" customWidth="1"/>
    <col min="6922" max="6922" width="7.83203125" style="111" bestFit="1" customWidth="1"/>
    <col min="6923" max="7168" width="12.5" style="111" customWidth="1"/>
    <col min="7169" max="7169" width="48.1640625" style="111" bestFit="1" customWidth="1"/>
    <col min="7170" max="7170" width="23.33203125" style="111" bestFit="1" customWidth="1"/>
    <col min="7171" max="7171" width="35.5" style="111" bestFit="1" customWidth="1"/>
    <col min="7172" max="7172" width="69.83203125" style="111" bestFit="1" customWidth="1"/>
    <col min="7173" max="7173" width="12.5" style="111" customWidth="1"/>
    <col min="7174" max="7174" width="17.1640625" style="111" bestFit="1" customWidth="1"/>
    <col min="7175" max="7176" width="19.83203125" style="111" bestFit="1" customWidth="1"/>
    <col min="7177" max="7177" width="17.1640625" style="111" bestFit="1" customWidth="1"/>
    <col min="7178" max="7178" width="7.83203125" style="111" bestFit="1" customWidth="1"/>
    <col min="7179" max="7424" width="12.5" style="111" customWidth="1"/>
    <col min="7425" max="7425" width="48.1640625" style="111" bestFit="1" customWidth="1"/>
    <col min="7426" max="7426" width="23.33203125" style="111" bestFit="1" customWidth="1"/>
    <col min="7427" max="7427" width="35.5" style="111" bestFit="1" customWidth="1"/>
    <col min="7428" max="7428" width="69.83203125" style="111" bestFit="1" customWidth="1"/>
    <col min="7429" max="7429" width="12.5" style="111" customWidth="1"/>
    <col min="7430" max="7430" width="17.1640625" style="111" bestFit="1" customWidth="1"/>
    <col min="7431" max="7432" width="19.83203125" style="111" bestFit="1" customWidth="1"/>
    <col min="7433" max="7433" width="17.1640625" style="111" bestFit="1" customWidth="1"/>
    <col min="7434" max="7434" width="7.83203125" style="111" bestFit="1" customWidth="1"/>
    <col min="7435" max="7680" width="12.5" style="111" customWidth="1"/>
    <col min="7681" max="7681" width="48.1640625" style="111" bestFit="1" customWidth="1"/>
    <col min="7682" max="7682" width="23.33203125" style="111" bestFit="1" customWidth="1"/>
    <col min="7683" max="7683" width="35.5" style="111" bestFit="1" customWidth="1"/>
    <col min="7684" max="7684" width="69.83203125" style="111" bestFit="1" customWidth="1"/>
    <col min="7685" max="7685" width="12.5" style="111" customWidth="1"/>
    <col min="7686" max="7686" width="17.1640625" style="111" bestFit="1" customWidth="1"/>
    <col min="7687" max="7688" width="19.83203125" style="111" bestFit="1" customWidth="1"/>
    <col min="7689" max="7689" width="17.1640625" style="111" bestFit="1" customWidth="1"/>
    <col min="7690" max="7690" width="7.83203125" style="111" bestFit="1" customWidth="1"/>
    <col min="7691" max="7936" width="12.5" style="111" customWidth="1"/>
    <col min="7937" max="7937" width="48.1640625" style="111" bestFit="1" customWidth="1"/>
    <col min="7938" max="7938" width="23.33203125" style="111" bestFit="1" customWidth="1"/>
    <col min="7939" max="7939" width="35.5" style="111" bestFit="1" customWidth="1"/>
    <col min="7940" max="7940" width="69.83203125" style="111" bestFit="1" customWidth="1"/>
    <col min="7941" max="7941" width="12.5" style="111" customWidth="1"/>
    <col min="7942" max="7942" width="17.1640625" style="111" bestFit="1" customWidth="1"/>
    <col min="7943" max="7944" width="19.83203125" style="111" bestFit="1" customWidth="1"/>
    <col min="7945" max="7945" width="17.1640625" style="111" bestFit="1" customWidth="1"/>
    <col min="7946" max="7946" width="7.83203125" style="111" bestFit="1" customWidth="1"/>
    <col min="7947" max="8192" width="12.5" style="111" customWidth="1"/>
    <col min="8193" max="8193" width="48.1640625" style="111" bestFit="1" customWidth="1"/>
    <col min="8194" max="8194" width="23.33203125" style="111" bestFit="1" customWidth="1"/>
    <col min="8195" max="8195" width="35.5" style="111" bestFit="1" customWidth="1"/>
    <col min="8196" max="8196" width="69.83203125" style="111" bestFit="1" customWidth="1"/>
    <col min="8197" max="8197" width="12.5" style="111" customWidth="1"/>
    <col min="8198" max="8198" width="17.1640625" style="111" bestFit="1" customWidth="1"/>
    <col min="8199" max="8200" width="19.83203125" style="111" bestFit="1" customWidth="1"/>
    <col min="8201" max="8201" width="17.1640625" style="111" bestFit="1" customWidth="1"/>
    <col min="8202" max="8202" width="7.83203125" style="111" bestFit="1" customWidth="1"/>
    <col min="8203" max="8448" width="12.5" style="111" customWidth="1"/>
    <col min="8449" max="8449" width="48.1640625" style="111" bestFit="1" customWidth="1"/>
    <col min="8450" max="8450" width="23.33203125" style="111" bestFit="1" customWidth="1"/>
    <col min="8451" max="8451" width="35.5" style="111" bestFit="1" customWidth="1"/>
    <col min="8452" max="8452" width="69.83203125" style="111" bestFit="1" customWidth="1"/>
    <col min="8453" max="8453" width="12.5" style="111" customWidth="1"/>
    <col min="8454" max="8454" width="17.1640625" style="111" bestFit="1" customWidth="1"/>
    <col min="8455" max="8456" width="19.83203125" style="111" bestFit="1" customWidth="1"/>
    <col min="8457" max="8457" width="17.1640625" style="111" bestFit="1" customWidth="1"/>
    <col min="8458" max="8458" width="7.83203125" style="111" bestFit="1" customWidth="1"/>
    <col min="8459" max="8704" width="12.5" style="111" customWidth="1"/>
    <col min="8705" max="8705" width="48.1640625" style="111" bestFit="1" customWidth="1"/>
    <col min="8706" max="8706" width="23.33203125" style="111" bestFit="1" customWidth="1"/>
    <col min="8707" max="8707" width="35.5" style="111" bestFit="1" customWidth="1"/>
    <col min="8708" max="8708" width="69.83203125" style="111" bestFit="1" customWidth="1"/>
    <col min="8709" max="8709" width="12.5" style="111" customWidth="1"/>
    <col min="8710" max="8710" width="17.1640625" style="111" bestFit="1" customWidth="1"/>
    <col min="8711" max="8712" width="19.83203125" style="111" bestFit="1" customWidth="1"/>
    <col min="8713" max="8713" width="17.1640625" style="111" bestFit="1" customWidth="1"/>
    <col min="8714" max="8714" width="7.83203125" style="111" bestFit="1" customWidth="1"/>
    <col min="8715" max="8960" width="12.5" style="111" customWidth="1"/>
    <col min="8961" max="8961" width="48.1640625" style="111" bestFit="1" customWidth="1"/>
    <col min="8962" max="8962" width="23.33203125" style="111" bestFit="1" customWidth="1"/>
    <col min="8963" max="8963" width="35.5" style="111" bestFit="1" customWidth="1"/>
    <col min="8964" max="8964" width="69.83203125" style="111" bestFit="1" customWidth="1"/>
    <col min="8965" max="8965" width="12.5" style="111" customWidth="1"/>
    <col min="8966" max="8966" width="17.1640625" style="111" bestFit="1" customWidth="1"/>
    <col min="8967" max="8968" width="19.83203125" style="111" bestFit="1" customWidth="1"/>
    <col min="8969" max="8969" width="17.1640625" style="111" bestFit="1" customWidth="1"/>
    <col min="8970" max="8970" width="7.83203125" style="111" bestFit="1" customWidth="1"/>
    <col min="8971" max="9216" width="12.5" style="111" customWidth="1"/>
    <col min="9217" max="9217" width="48.1640625" style="111" bestFit="1" customWidth="1"/>
    <col min="9218" max="9218" width="23.33203125" style="111" bestFit="1" customWidth="1"/>
    <col min="9219" max="9219" width="35.5" style="111" bestFit="1" customWidth="1"/>
    <col min="9220" max="9220" width="69.83203125" style="111" bestFit="1" customWidth="1"/>
    <col min="9221" max="9221" width="12.5" style="111" customWidth="1"/>
    <col min="9222" max="9222" width="17.1640625" style="111" bestFit="1" customWidth="1"/>
    <col min="9223" max="9224" width="19.83203125" style="111" bestFit="1" customWidth="1"/>
    <col min="9225" max="9225" width="17.1640625" style="111" bestFit="1" customWidth="1"/>
    <col min="9226" max="9226" width="7.83203125" style="111" bestFit="1" customWidth="1"/>
    <col min="9227" max="9472" width="12.5" style="111" customWidth="1"/>
    <col min="9473" max="9473" width="48.1640625" style="111" bestFit="1" customWidth="1"/>
    <col min="9474" max="9474" width="23.33203125" style="111" bestFit="1" customWidth="1"/>
    <col min="9475" max="9475" width="35.5" style="111" bestFit="1" customWidth="1"/>
    <col min="9476" max="9476" width="69.83203125" style="111" bestFit="1" customWidth="1"/>
    <col min="9477" max="9477" width="12.5" style="111" customWidth="1"/>
    <col min="9478" max="9478" width="17.1640625" style="111" bestFit="1" customWidth="1"/>
    <col min="9479" max="9480" width="19.83203125" style="111" bestFit="1" customWidth="1"/>
    <col min="9481" max="9481" width="17.1640625" style="111" bestFit="1" customWidth="1"/>
    <col min="9482" max="9482" width="7.83203125" style="111" bestFit="1" customWidth="1"/>
    <col min="9483" max="9728" width="12.5" style="111" customWidth="1"/>
    <col min="9729" max="9729" width="48.1640625" style="111" bestFit="1" customWidth="1"/>
    <col min="9730" max="9730" width="23.33203125" style="111" bestFit="1" customWidth="1"/>
    <col min="9731" max="9731" width="35.5" style="111" bestFit="1" customWidth="1"/>
    <col min="9732" max="9732" width="69.83203125" style="111" bestFit="1" customWidth="1"/>
    <col min="9733" max="9733" width="12.5" style="111" customWidth="1"/>
    <col min="9734" max="9734" width="17.1640625" style="111" bestFit="1" customWidth="1"/>
    <col min="9735" max="9736" width="19.83203125" style="111" bestFit="1" customWidth="1"/>
    <col min="9737" max="9737" width="17.1640625" style="111" bestFit="1" customWidth="1"/>
    <col min="9738" max="9738" width="7.83203125" style="111" bestFit="1" customWidth="1"/>
    <col min="9739" max="9984" width="12.5" style="111" customWidth="1"/>
    <col min="9985" max="9985" width="48.1640625" style="111" bestFit="1" customWidth="1"/>
    <col min="9986" max="9986" width="23.33203125" style="111" bestFit="1" customWidth="1"/>
    <col min="9987" max="9987" width="35.5" style="111" bestFit="1" customWidth="1"/>
    <col min="9988" max="9988" width="69.83203125" style="111" bestFit="1" customWidth="1"/>
    <col min="9989" max="9989" width="12.5" style="111" customWidth="1"/>
    <col min="9990" max="9990" width="17.1640625" style="111" bestFit="1" customWidth="1"/>
    <col min="9991" max="9992" width="19.83203125" style="111" bestFit="1" customWidth="1"/>
    <col min="9993" max="9993" width="17.1640625" style="111" bestFit="1" customWidth="1"/>
    <col min="9994" max="9994" width="7.83203125" style="111" bestFit="1" customWidth="1"/>
    <col min="9995" max="10240" width="12.5" style="111" customWidth="1"/>
    <col min="10241" max="10241" width="48.1640625" style="111" bestFit="1" customWidth="1"/>
    <col min="10242" max="10242" width="23.33203125" style="111" bestFit="1" customWidth="1"/>
    <col min="10243" max="10243" width="35.5" style="111" bestFit="1" customWidth="1"/>
    <col min="10244" max="10244" width="69.83203125" style="111" bestFit="1" customWidth="1"/>
    <col min="10245" max="10245" width="12.5" style="111" customWidth="1"/>
    <col min="10246" max="10246" width="17.1640625" style="111" bestFit="1" customWidth="1"/>
    <col min="10247" max="10248" width="19.83203125" style="111" bestFit="1" customWidth="1"/>
    <col min="10249" max="10249" width="17.1640625" style="111" bestFit="1" customWidth="1"/>
    <col min="10250" max="10250" width="7.83203125" style="111" bestFit="1" customWidth="1"/>
    <col min="10251" max="10496" width="12.5" style="111" customWidth="1"/>
    <col min="10497" max="10497" width="48.1640625" style="111" bestFit="1" customWidth="1"/>
    <col min="10498" max="10498" width="23.33203125" style="111" bestFit="1" customWidth="1"/>
    <col min="10499" max="10499" width="35.5" style="111" bestFit="1" customWidth="1"/>
    <col min="10500" max="10500" width="69.83203125" style="111" bestFit="1" customWidth="1"/>
    <col min="10501" max="10501" width="12.5" style="111" customWidth="1"/>
    <col min="10502" max="10502" width="17.1640625" style="111" bestFit="1" customWidth="1"/>
    <col min="10503" max="10504" width="19.83203125" style="111" bestFit="1" customWidth="1"/>
    <col min="10505" max="10505" width="17.1640625" style="111" bestFit="1" customWidth="1"/>
    <col min="10506" max="10506" width="7.83203125" style="111" bestFit="1" customWidth="1"/>
    <col min="10507" max="10752" width="12.5" style="111" customWidth="1"/>
    <col min="10753" max="10753" width="48.1640625" style="111" bestFit="1" customWidth="1"/>
    <col min="10754" max="10754" width="23.33203125" style="111" bestFit="1" customWidth="1"/>
    <col min="10755" max="10755" width="35.5" style="111" bestFit="1" customWidth="1"/>
    <col min="10756" max="10756" width="69.83203125" style="111" bestFit="1" customWidth="1"/>
    <col min="10757" max="10757" width="12.5" style="111" customWidth="1"/>
    <col min="10758" max="10758" width="17.1640625" style="111" bestFit="1" customWidth="1"/>
    <col min="10759" max="10760" width="19.83203125" style="111" bestFit="1" customWidth="1"/>
    <col min="10761" max="10761" width="17.1640625" style="111" bestFit="1" customWidth="1"/>
    <col min="10762" max="10762" width="7.83203125" style="111" bestFit="1" customWidth="1"/>
    <col min="10763" max="11008" width="12.5" style="111" customWidth="1"/>
    <col min="11009" max="11009" width="48.1640625" style="111" bestFit="1" customWidth="1"/>
    <col min="11010" max="11010" width="23.33203125" style="111" bestFit="1" customWidth="1"/>
    <col min="11011" max="11011" width="35.5" style="111" bestFit="1" customWidth="1"/>
    <col min="11012" max="11012" width="69.83203125" style="111" bestFit="1" customWidth="1"/>
    <col min="11013" max="11013" width="12.5" style="111" customWidth="1"/>
    <col min="11014" max="11014" width="17.1640625" style="111" bestFit="1" customWidth="1"/>
    <col min="11015" max="11016" width="19.83203125" style="111" bestFit="1" customWidth="1"/>
    <col min="11017" max="11017" width="17.1640625" style="111" bestFit="1" customWidth="1"/>
    <col min="11018" max="11018" width="7.83203125" style="111" bestFit="1" customWidth="1"/>
    <col min="11019" max="11264" width="12.5" style="111" customWidth="1"/>
    <col min="11265" max="11265" width="48.1640625" style="111" bestFit="1" customWidth="1"/>
    <col min="11266" max="11266" width="23.33203125" style="111" bestFit="1" customWidth="1"/>
    <col min="11267" max="11267" width="35.5" style="111" bestFit="1" customWidth="1"/>
    <col min="11268" max="11268" width="69.83203125" style="111" bestFit="1" customWidth="1"/>
    <col min="11269" max="11269" width="12.5" style="111" customWidth="1"/>
    <col min="11270" max="11270" width="17.1640625" style="111" bestFit="1" customWidth="1"/>
    <col min="11271" max="11272" width="19.83203125" style="111" bestFit="1" customWidth="1"/>
    <col min="11273" max="11273" width="17.1640625" style="111" bestFit="1" customWidth="1"/>
    <col min="11274" max="11274" width="7.83203125" style="111" bestFit="1" customWidth="1"/>
    <col min="11275" max="11520" width="12.5" style="111" customWidth="1"/>
    <col min="11521" max="11521" width="48.1640625" style="111" bestFit="1" customWidth="1"/>
    <col min="11522" max="11522" width="23.33203125" style="111" bestFit="1" customWidth="1"/>
    <col min="11523" max="11523" width="35.5" style="111" bestFit="1" customWidth="1"/>
    <col min="11524" max="11524" width="69.83203125" style="111" bestFit="1" customWidth="1"/>
    <col min="11525" max="11525" width="12.5" style="111" customWidth="1"/>
    <col min="11526" max="11526" width="17.1640625" style="111" bestFit="1" customWidth="1"/>
    <col min="11527" max="11528" width="19.83203125" style="111" bestFit="1" customWidth="1"/>
    <col min="11529" max="11529" width="17.1640625" style="111" bestFit="1" customWidth="1"/>
    <col min="11530" max="11530" width="7.83203125" style="111" bestFit="1" customWidth="1"/>
    <col min="11531" max="11776" width="12.5" style="111" customWidth="1"/>
    <col min="11777" max="11777" width="48.1640625" style="111" bestFit="1" customWidth="1"/>
    <col min="11778" max="11778" width="23.33203125" style="111" bestFit="1" customWidth="1"/>
    <col min="11779" max="11779" width="35.5" style="111" bestFit="1" customWidth="1"/>
    <col min="11780" max="11780" width="69.83203125" style="111" bestFit="1" customWidth="1"/>
    <col min="11781" max="11781" width="12.5" style="111" customWidth="1"/>
    <col min="11782" max="11782" width="17.1640625" style="111" bestFit="1" customWidth="1"/>
    <col min="11783" max="11784" width="19.83203125" style="111" bestFit="1" customWidth="1"/>
    <col min="11785" max="11785" width="17.1640625" style="111" bestFit="1" customWidth="1"/>
    <col min="11786" max="11786" width="7.83203125" style="111" bestFit="1" customWidth="1"/>
    <col min="11787" max="12032" width="12.5" style="111" customWidth="1"/>
    <col min="12033" max="12033" width="48.1640625" style="111" bestFit="1" customWidth="1"/>
    <col min="12034" max="12034" width="23.33203125" style="111" bestFit="1" customWidth="1"/>
    <col min="12035" max="12035" width="35.5" style="111" bestFit="1" customWidth="1"/>
    <col min="12036" max="12036" width="69.83203125" style="111" bestFit="1" customWidth="1"/>
    <col min="12037" max="12037" width="12.5" style="111" customWidth="1"/>
    <col min="12038" max="12038" width="17.1640625" style="111" bestFit="1" customWidth="1"/>
    <col min="12039" max="12040" width="19.83203125" style="111" bestFit="1" customWidth="1"/>
    <col min="12041" max="12041" width="17.1640625" style="111" bestFit="1" customWidth="1"/>
    <col min="12042" max="12042" width="7.83203125" style="111" bestFit="1" customWidth="1"/>
    <col min="12043" max="12288" width="12.5" style="111" customWidth="1"/>
    <col min="12289" max="12289" width="48.1640625" style="111" bestFit="1" customWidth="1"/>
    <col min="12290" max="12290" width="23.33203125" style="111" bestFit="1" customWidth="1"/>
    <col min="12291" max="12291" width="35.5" style="111" bestFit="1" customWidth="1"/>
    <col min="12292" max="12292" width="69.83203125" style="111" bestFit="1" customWidth="1"/>
    <col min="12293" max="12293" width="12.5" style="111" customWidth="1"/>
    <col min="12294" max="12294" width="17.1640625" style="111" bestFit="1" customWidth="1"/>
    <col min="12295" max="12296" width="19.83203125" style="111" bestFit="1" customWidth="1"/>
    <col min="12297" max="12297" width="17.1640625" style="111" bestFit="1" customWidth="1"/>
    <col min="12298" max="12298" width="7.83203125" style="111" bestFit="1" customWidth="1"/>
    <col min="12299" max="12544" width="12.5" style="111" customWidth="1"/>
    <col min="12545" max="12545" width="48.1640625" style="111" bestFit="1" customWidth="1"/>
    <col min="12546" max="12546" width="23.33203125" style="111" bestFit="1" customWidth="1"/>
    <col min="12547" max="12547" width="35.5" style="111" bestFit="1" customWidth="1"/>
    <col min="12548" max="12548" width="69.83203125" style="111" bestFit="1" customWidth="1"/>
    <col min="12549" max="12549" width="12.5" style="111" customWidth="1"/>
    <col min="12550" max="12550" width="17.1640625" style="111" bestFit="1" customWidth="1"/>
    <col min="12551" max="12552" width="19.83203125" style="111" bestFit="1" customWidth="1"/>
    <col min="12553" max="12553" width="17.1640625" style="111" bestFit="1" customWidth="1"/>
    <col min="12554" max="12554" width="7.83203125" style="111" bestFit="1" customWidth="1"/>
    <col min="12555" max="12800" width="12.5" style="111" customWidth="1"/>
    <col min="12801" max="12801" width="48.1640625" style="111" bestFit="1" customWidth="1"/>
    <col min="12802" max="12802" width="23.33203125" style="111" bestFit="1" customWidth="1"/>
    <col min="12803" max="12803" width="35.5" style="111" bestFit="1" customWidth="1"/>
    <col min="12804" max="12804" width="69.83203125" style="111" bestFit="1" customWidth="1"/>
    <col min="12805" max="12805" width="12.5" style="111" customWidth="1"/>
    <col min="12806" max="12806" width="17.1640625" style="111" bestFit="1" customWidth="1"/>
    <col min="12807" max="12808" width="19.83203125" style="111" bestFit="1" customWidth="1"/>
    <col min="12809" max="12809" width="17.1640625" style="111" bestFit="1" customWidth="1"/>
    <col min="12810" max="12810" width="7.83203125" style="111" bestFit="1" customWidth="1"/>
    <col min="12811" max="13056" width="12.5" style="111" customWidth="1"/>
    <col min="13057" max="13057" width="48.1640625" style="111" bestFit="1" customWidth="1"/>
    <col min="13058" max="13058" width="23.33203125" style="111" bestFit="1" customWidth="1"/>
    <col min="13059" max="13059" width="35.5" style="111" bestFit="1" customWidth="1"/>
    <col min="13060" max="13060" width="69.83203125" style="111" bestFit="1" customWidth="1"/>
    <col min="13061" max="13061" width="12.5" style="111" customWidth="1"/>
    <col min="13062" max="13062" width="17.1640625" style="111" bestFit="1" customWidth="1"/>
    <col min="13063" max="13064" width="19.83203125" style="111" bestFit="1" customWidth="1"/>
    <col min="13065" max="13065" width="17.1640625" style="111" bestFit="1" customWidth="1"/>
    <col min="13066" max="13066" width="7.83203125" style="111" bestFit="1" customWidth="1"/>
    <col min="13067" max="13312" width="12.5" style="111" customWidth="1"/>
    <col min="13313" max="13313" width="48.1640625" style="111" bestFit="1" customWidth="1"/>
    <col min="13314" max="13314" width="23.33203125" style="111" bestFit="1" customWidth="1"/>
    <col min="13315" max="13315" width="35.5" style="111" bestFit="1" customWidth="1"/>
    <col min="13316" max="13316" width="69.83203125" style="111" bestFit="1" customWidth="1"/>
    <col min="13317" max="13317" width="12.5" style="111" customWidth="1"/>
    <col min="13318" max="13318" width="17.1640625" style="111" bestFit="1" customWidth="1"/>
    <col min="13319" max="13320" width="19.83203125" style="111" bestFit="1" customWidth="1"/>
    <col min="13321" max="13321" width="17.1640625" style="111" bestFit="1" customWidth="1"/>
    <col min="13322" max="13322" width="7.83203125" style="111" bestFit="1" customWidth="1"/>
    <col min="13323" max="13568" width="12.5" style="111" customWidth="1"/>
    <col min="13569" max="13569" width="48.1640625" style="111" bestFit="1" customWidth="1"/>
    <col min="13570" max="13570" width="23.33203125" style="111" bestFit="1" customWidth="1"/>
    <col min="13571" max="13571" width="35.5" style="111" bestFit="1" customWidth="1"/>
    <col min="13572" max="13572" width="69.83203125" style="111" bestFit="1" customWidth="1"/>
    <col min="13573" max="13573" width="12.5" style="111" customWidth="1"/>
    <col min="13574" max="13574" width="17.1640625" style="111" bestFit="1" customWidth="1"/>
    <col min="13575" max="13576" width="19.83203125" style="111" bestFit="1" customWidth="1"/>
    <col min="13577" max="13577" width="17.1640625" style="111" bestFit="1" customWidth="1"/>
    <col min="13578" max="13578" width="7.83203125" style="111" bestFit="1" customWidth="1"/>
    <col min="13579" max="13824" width="12.5" style="111" customWidth="1"/>
    <col min="13825" max="13825" width="48.1640625" style="111" bestFit="1" customWidth="1"/>
    <col min="13826" max="13826" width="23.33203125" style="111" bestFit="1" customWidth="1"/>
    <col min="13827" max="13827" width="35.5" style="111" bestFit="1" customWidth="1"/>
    <col min="13828" max="13828" width="69.83203125" style="111" bestFit="1" customWidth="1"/>
    <col min="13829" max="13829" width="12.5" style="111" customWidth="1"/>
    <col min="13830" max="13830" width="17.1640625" style="111" bestFit="1" customWidth="1"/>
    <col min="13831" max="13832" width="19.83203125" style="111" bestFit="1" customWidth="1"/>
    <col min="13833" max="13833" width="17.1640625" style="111" bestFit="1" customWidth="1"/>
    <col min="13834" max="13834" width="7.83203125" style="111" bestFit="1" customWidth="1"/>
    <col min="13835" max="14080" width="12.5" style="111" customWidth="1"/>
    <col min="14081" max="14081" width="48.1640625" style="111" bestFit="1" customWidth="1"/>
    <col min="14082" max="14082" width="23.33203125" style="111" bestFit="1" customWidth="1"/>
    <col min="14083" max="14083" width="35.5" style="111" bestFit="1" customWidth="1"/>
    <col min="14084" max="14084" width="69.83203125" style="111" bestFit="1" customWidth="1"/>
    <col min="14085" max="14085" width="12.5" style="111" customWidth="1"/>
    <col min="14086" max="14086" width="17.1640625" style="111" bestFit="1" customWidth="1"/>
    <col min="14087" max="14088" width="19.83203125" style="111" bestFit="1" customWidth="1"/>
    <col min="14089" max="14089" width="17.1640625" style="111" bestFit="1" customWidth="1"/>
    <col min="14090" max="14090" width="7.83203125" style="111" bestFit="1" customWidth="1"/>
    <col min="14091" max="14336" width="12.5" style="111" customWidth="1"/>
    <col min="14337" max="14337" width="48.1640625" style="111" bestFit="1" customWidth="1"/>
    <col min="14338" max="14338" width="23.33203125" style="111" bestFit="1" customWidth="1"/>
    <col min="14339" max="14339" width="35.5" style="111" bestFit="1" customWidth="1"/>
    <col min="14340" max="14340" width="69.83203125" style="111" bestFit="1" customWidth="1"/>
    <col min="14341" max="14341" width="12.5" style="111" customWidth="1"/>
    <col min="14342" max="14342" width="17.1640625" style="111" bestFit="1" customWidth="1"/>
    <col min="14343" max="14344" width="19.83203125" style="111" bestFit="1" customWidth="1"/>
    <col min="14345" max="14345" width="17.1640625" style="111" bestFit="1" customWidth="1"/>
    <col min="14346" max="14346" width="7.83203125" style="111" bestFit="1" customWidth="1"/>
    <col min="14347" max="14592" width="12.5" style="111" customWidth="1"/>
    <col min="14593" max="14593" width="48.1640625" style="111" bestFit="1" customWidth="1"/>
    <col min="14594" max="14594" width="23.33203125" style="111" bestFit="1" customWidth="1"/>
    <col min="14595" max="14595" width="35.5" style="111" bestFit="1" customWidth="1"/>
    <col min="14596" max="14596" width="69.83203125" style="111" bestFit="1" customWidth="1"/>
    <col min="14597" max="14597" width="12.5" style="111" customWidth="1"/>
    <col min="14598" max="14598" width="17.1640625" style="111" bestFit="1" customWidth="1"/>
    <col min="14599" max="14600" width="19.83203125" style="111" bestFit="1" customWidth="1"/>
    <col min="14601" max="14601" width="17.1640625" style="111" bestFit="1" customWidth="1"/>
    <col min="14602" max="14602" width="7.83203125" style="111" bestFit="1" customWidth="1"/>
    <col min="14603" max="14848" width="12.5" style="111" customWidth="1"/>
    <col min="14849" max="14849" width="48.1640625" style="111" bestFit="1" customWidth="1"/>
    <col min="14850" max="14850" width="23.33203125" style="111" bestFit="1" customWidth="1"/>
    <col min="14851" max="14851" width="35.5" style="111" bestFit="1" customWidth="1"/>
    <col min="14852" max="14852" width="69.83203125" style="111" bestFit="1" customWidth="1"/>
    <col min="14853" max="14853" width="12.5" style="111" customWidth="1"/>
    <col min="14854" max="14854" width="17.1640625" style="111" bestFit="1" customWidth="1"/>
    <col min="14855" max="14856" width="19.83203125" style="111" bestFit="1" customWidth="1"/>
    <col min="14857" max="14857" width="17.1640625" style="111" bestFit="1" customWidth="1"/>
    <col min="14858" max="14858" width="7.83203125" style="111" bestFit="1" customWidth="1"/>
    <col min="14859" max="15104" width="12.5" style="111" customWidth="1"/>
    <col min="15105" max="15105" width="48.1640625" style="111" bestFit="1" customWidth="1"/>
    <col min="15106" max="15106" width="23.33203125" style="111" bestFit="1" customWidth="1"/>
    <col min="15107" max="15107" width="35.5" style="111" bestFit="1" customWidth="1"/>
    <col min="15108" max="15108" width="69.83203125" style="111" bestFit="1" customWidth="1"/>
    <col min="15109" max="15109" width="12.5" style="111" customWidth="1"/>
    <col min="15110" max="15110" width="17.1640625" style="111" bestFit="1" customWidth="1"/>
    <col min="15111" max="15112" width="19.83203125" style="111" bestFit="1" customWidth="1"/>
    <col min="15113" max="15113" width="17.1640625" style="111" bestFit="1" customWidth="1"/>
    <col min="15114" max="15114" width="7.83203125" style="111" bestFit="1" customWidth="1"/>
    <col min="15115" max="15360" width="12.5" style="111" customWidth="1"/>
    <col min="15361" max="15361" width="48.1640625" style="111" bestFit="1" customWidth="1"/>
    <col min="15362" max="15362" width="23.33203125" style="111" bestFit="1" customWidth="1"/>
    <col min="15363" max="15363" width="35.5" style="111" bestFit="1" customWidth="1"/>
    <col min="15364" max="15364" width="69.83203125" style="111" bestFit="1" customWidth="1"/>
    <col min="15365" max="15365" width="12.5" style="111" customWidth="1"/>
    <col min="15366" max="15366" width="17.1640625" style="111" bestFit="1" customWidth="1"/>
    <col min="15367" max="15368" width="19.83203125" style="111" bestFit="1" customWidth="1"/>
    <col min="15369" max="15369" width="17.1640625" style="111" bestFit="1" customWidth="1"/>
    <col min="15370" max="15370" width="7.83203125" style="111" bestFit="1" customWidth="1"/>
    <col min="15371" max="15616" width="12.5" style="111" customWidth="1"/>
    <col min="15617" max="15617" width="48.1640625" style="111" bestFit="1" customWidth="1"/>
    <col min="15618" max="15618" width="23.33203125" style="111" bestFit="1" customWidth="1"/>
    <col min="15619" max="15619" width="35.5" style="111" bestFit="1" customWidth="1"/>
    <col min="15620" max="15620" width="69.83203125" style="111" bestFit="1" customWidth="1"/>
    <col min="15621" max="15621" width="12.5" style="111" customWidth="1"/>
    <col min="15622" max="15622" width="17.1640625" style="111" bestFit="1" customWidth="1"/>
    <col min="15623" max="15624" width="19.83203125" style="111" bestFit="1" customWidth="1"/>
    <col min="15625" max="15625" width="17.1640625" style="111" bestFit="1" customWidth="1"/>
    <col min="15626" max="15626" width="7.83203125" style="111" bestFit="1" customWidth="1"/>
    <col min="15627" max="15872" width="12.5" style="111" customWidth="1"/>
    <col min="15873" max="15873" width="48.1640625" style="111" bestFit="1" customWidth="1"/>
    <col min="15874" max="15874" width="23.33203125" style="111" bestFit="1" customWidth="1"/>
    <col min="15875" max="15875" width="35.5" style="111" bestFit="1" customWidth="1"/>
    <col min="15876" max="15876" width="69.83203125" style="111" bestFit="1" customWidth="1"/>
    <col min="15877" max="15877" width="12.5" style="111" customWidth="1"/>
    <col min="15878" max="15878" width="17.1640625" style="111" bestFit="1" customWidth="1"/>
    <col min="15879" max="15880" width="19.83203125" style="111" bestFit="1" customWidth="1"/>
    <col min="15881" max="15881" width="17.1640625" style="111" bestFit="1" customWidth="1"/>
    <col min="15882" max="15882" width="7.83203125" style="111" bestFit="1" customWidth="1"/>
    <col min="15883" max="16128" width="12.5" style="111" customWidth="1"/>
    <col min="16129" max="16129" width="48.1640625" style="111" bestFit="1" customWidth="1"/>
    <col min="16130" max="16130" width="23.33203125" style="111" bestFit="1" customWidth="1"/>
    <col min="16131" max="16131" width="35.5" style="111" bestFit="1" customWidth="1"/>
    <col min="16132" max="16132" width="69.83203125" style="111" bestFit="1" customWidth="1"/>
    <col min="16133" max="16133" width="12.5" style="111" customWidth="1"/>
    <col min="16134" max="16134" width="17.1640625" style="111" bestFit="1" customWidth="1"/>
    <col min="16135" max="16136" width="19.83203125" style="111" bestFit="1" customWidth="1"/>
    <col min="16137" max="16137" width="17.1640625" style="111" bestFit="1" customWidth="1"/>
    <col min="16138" max="16138" width="7.83203125" style="111" bestFit="1" customWidth="1"/>
    <col min="16139" max="16384" width="12.5" style="111" customWidth="1"/>
  </cols>
  <sheetData>
    <row r="1" spans="1:9">
      <c r="A1" s="109" t="s">
        <v>121</v>
      </c>
      <c r="B1" s="110" t="s">
        <v>122</v>
      </c>
      <c r="C1" s="110" t="s">
        <v>123</v>
      </c>
    </row>
    <row r="2" spans="1:9">
      <c r="A2" s="111" t="s">
        <v>124</v>
      </c>
    </row>
    <row r="3" spans="1:9">
      <c r="A3" s="111" t="s">
        <v>125</v>
      </c>
      <c r="B3" s="111" t="str">
        <f>MID(A3, 1, 2)</f>
        <v>49</v>
      </c>
      <c r="C3" s="111" t="s">
        <v>126</v>
      </c>
      <c r="D3" s="111" t="str">
        <f>MID(A3,10,2)</f>
        <v>59</v>
      </c>
      <c r="F3" s="111" t="s">
        <v>127</v>
      </c>
      <c r="G3" s="111" t="s">
        <v>128</v>
      </c>
      <c r="H3" s="111" t="s">
        <v>129</v>
      </c>
      <c r="I3" s="111" t="s">
        <v>130</v>
      </c>
    </row>
    <row r="4" spans="1:9">
      <c r="A4" s="111" t="s">
        <v>131</v>
      </c>
      <c r="C4" s="111" t="s">
        <v>132</v>
      </c>
      <c r="F4" s="111" t="s">
        <v>133</v>
      </c>
      <c r="G4" s="111" t="s">
        <v>134</v>
      </c>
      <c r="H4" s="111" t="s">
        <v>135</v>
      </c>
      <c r="I4" s="111" t="s">
        <v>130</v>
      </c>
    </row>
    <row r="5" spans="1:9">
      <c r="A5" s="111" t="s">
        <v>136</v>
      </c>
      <c r="C5" s="111" t="s">
        <v>132</v>
      </c>
      <c r="F5" s="111" t="s">
        <v>133</v>
      </c>
      <c r="G5" s="111" t="s">
        <v>134</v>
      </c>
      <c r="H5" s="111" t="s">
        <v>135</v>
      </c>
      <c r="I5" s="111" t="s">
        <v>130</v>
      </c>
    </row>
    <row r="6" spans="1:9">
      <c r="A6" s="111" t="s">
        <v>137</v>
      </c>
      <c r="C6" s="111" t="s">
        <v>132</v>
      </c>
      <c r="F6" s="111" t="s">
        <v>138</v>
      </c>
      <c r="G6" s="111" t="s">
        <v>139</v>
      </c>
      <c r="H6" s="111" t="s">
        <v>140</v>
      </c>
      <c r="I6" s="111" t="s">
        <v>141</v>
      </c>
    </row>
    <row r="7" spans="1:9">
      <c r="A7" s="111" t="s">
        <v>142</v>
      </c>
      <c r="C7" s="111" t="s">
        <v>132</v>
      </c>
      <c r="F7" s="111" t="s">
        <v>127</v>
      </c>
      <c r="G7" s="111" t="s">
        <v>128</v>
      </c>
      <c r="H7" s="111" t="s">
        <v>143</v>
      </c>
      <c r="I7" s="111" t="s">
        <v>130</v>
      </c>
    </row>
    <row r="8" spans="1:9">
      <c r="A8" s="111" t="s">
        <v>144</v>
      </c>
      <c r="C8" s="111" t="s">
        <v>132</v>
      </c>
      <c r="F8" s="111" t="s">
        <v>127</v>
      </c>
      <c r="G8" s="111" t="s">
        <v>145</v>
      </c>
      <c r="H8" s="111" t="s">
        <v>146</v>
      </c>
      <c r="I8" s="111" t="s">
        <v>147</v>
      </c>
    </row>
    <row r="9" spans="1:9">
      <c r="A9" s="111" t="s">
        <v>148</v>
      </c>
      <c r="C9" s="111" t="s">
        <v>149</v>
      </c>
      <c r="F9" s="111" t="s">
        <v>127</v>
      </c>
      <c r="G9" s="111" t="s">
        <v>128</v>
      </c>
      <c r="H9" s="111" t="s">
        <v>129</v>
      </c>
      <c r="I9" s="111" t="s">
        <v>130</v>
      </c>
    </row>
    <row r="10" spans="1:9">
      <c r="A10" s="111" t="s">
        <v>150</v>
      </c>
      <c r="C10" s="111" t="s">
        <v>151</v>
      </c>
      <c r="F10" s="111" t="s">
        <v>133</v>
      </c>
      <c r="G10" s="111" t="s">
        <v>152</v>
      </c>
      <c r="H10" s="111" t="s">
        <v>153</v>
      </c>
    </row>
    <row r="11" spans="1:9">
      <c r="A11" s="111" t="s">
        <v>154</v>
      </c>
      <c r="C11" s="111" t="s">
        <v>151</v>
      </c>
      <c r="F11" s="111" t="s">
        <v>133</v>
      </c>
      <c r="G11" s="111" t="s">
        <v>152</v>
      </c>
      <c r="H11" s="111" t="s">
        <v>153</v>
      </c>
    </row>
    <row r="12" spans="1:9">
      <c r="A12" s="111" t="s">
        <v>155</v>
      </c>
      <c r="C12" s="111" t="s">
        <v>151</v>
      </c>
      <c r="F12" s="111" t="s">
        <v>127</v>
      </c>
      <c r="G12" s="111" t="s">
        <v>156</v>
      </c>
      <c r="H12" s="111" t="s">
        <v>157</v>
      </c>
    </row>
    <row r="13" spans="1:9">
      <c r="A13" s="111" t="s">
        <v>158</v>
      </c>
      <c r="C13" s="111" t="s">
        <v>151</v>
      </c>
      <c r="F13" s="111" t="s">
        <v>133</v>
      </c>
      <c r="G13" s="111" t="s">
        <v>134</v>
      </c>
      <c r="H13" s="111" t="s">
        <v>135</v>
      </c>
      <c r="I13" s="111" t="s">
        <v>130</v>
      </c>
    </row>
    <row r="14" spans="1:9">
      <c r="A14" s="111" t="s">
        <v>159</v>
      </c>
      <c r="C14" s="111" t="s">
        <v>151</v>
      </c>
      <c r="F14" s="111" t="s">
        <v>138</v>
      </c>
      <c r="G14" s="111" t="s">
        <v>134</v>
      </c>
      <c r="H14" s="111" t="s">
        <v>135</v>
      </c>
      <c r="I14" s="111" t="s">
        <v>130</v>
      </c>
    </row>
    <row r="15" spans="1:9">
      <c r="A15" s="111" t="s">
        <v>160</v>
      </c>
      <c r="C15" s="111" t="s">
        <v>161</v>
      </c>
      <c r="F15" s="111" t="s">
        <v>133</v>
      </c>
      <c r="G15" s="111" t="s">
        <v>162</v>
      </c>
      <c r="H15" s="111" t="s">
        <v>157</v>
      </c>
      <c r="I15" s="111" t="s">
        <v>130</v>
      </c>
    </row>
    <row r="16" spans="1:9">
      <c r="A16" s="111" t="s">
        <v>163</v>
      </c>
      <c r="C16" s="111" t="s">
        <v>164</v>
      </c>
      <c r="F16" s="111" t="s">
        <v>133</v>
      </c>
      <c r="G16" s="111" t="s">
        <v>162</v>
      </c>
      <c r="H16" s="111" t="s">
        <v>157</v>
      </c>
      <c r="I16" s="111" t="s">
        <v>130</v>
      </c>
    </row>
    <row r="17" spans="1:10">
      <c r="A17" s="111" t="s">
        <v>165</v>
      </c>
      <c r="C17" s="111" t="s">
        <v>164</v>
      </c>
      <c r="F17" s="111" t="s">
        <v>133</v>
      </c>
      <c r="G17" s="111" t="s">
        <v>162</v>
      </c>
      <c r="H17" s="111" t="s">
        <v>157</v>
      </c>
      <c r="I17" s="111" t="s">
        <v>130</v>
      </c>
    </row>
    <row r="18" spans="1:10">
      <c r="A18" s="111" t="s">
        <v>166</v>
      </c>
      <c r="C18" s="111" t="s">
        <v>164</v>
      </c>
      <c r="F18" s="111" t="s">
        <v>127</v>
      </c>
      <c r="G18" s="111" t="s">
        <v>128</v>
      </c>
      <c r="H18" s="111" t="s">
        <v>143</v>
      </c>
      <c r="I18" s="111" t="s">
        <v>130</v>
      </c>
    </row>
    <row r="19" spans="1:10">
      <c r="A19" s="111" t="s">
        <v>167</v>
      </c>
      <c r="C19" s="111" t="s">
        <v>168</v>
      </c>
      <c r="F19" s="111" t="s">
        <v>133</v>
      </c>
      <c r="G19" s="111" t="s">
        <v>152</v>
      </c>
      <c r="H19" s="111" t="s">
        <v>153</v>
      </c>
    </row>
    <row r="20" spans="1:10">
      <c r="A20" s="111" t="s">
        <v>169</v>
      </c>
      <c r="C20" s="111" t="s">
        <v>170</v>
      </c>
      <c r="F20" s="111" t="s">
        <v>133</v>
      </c>
      <c r="G20" s="111" t="s">
        <v>152</v>
      </c>
      <c r="H20" s="111" t="s">
        <v>153</v>
      </c>
    </row>
    <row r="21" spans="1:10">
      <c r="A21" s="111" t="s">
        <v>171</v>
      </c>
      <c r="C21" s="111" t="s">
        <v>172</v>
      </c>
      <c r="F21" s="111" t="s">
        <v>133</v>
      </c>
      <c r="G21" s="111" t="s">
        <v>152</v>
      </c>
      <c r="H21" s="111" t="s">
        <v>153</v>
      </c>
    </row>
    <row r="22" spans="1:10">
      <c r="A22" s="111" t="s">
        <v>173</v>
      </c>
      <c r="C22" s="111" t="s">
        <v>151</v>
      </c>
      <c r="F22" s="111" t="s">
        <v>133</v>
      </c>
      <c r="G22" s="111" t="s">
        <v>134</v>
      </c>
      <c r="H22" s="111" t="s">
        <v>135</v>
      </c>
      <c r="I22" s="111" t="s">
        <v>130</v>
      </c>
    </row>
    <row r="23" spans="1:10" s="113" customFormat="1">
      <c r="A23" s="112" t="s">
        <v>174</v>
      </c>
      <c r="B23" s="112"/>
      <c r="C23" s="112" t="s">
        <v>175</v>
      </c>
      <c r="D23" s="112" t="s">
        <v>176</v>
      </c>
      <c r="E23" s="112" t="s">
        <v>177</v>
      </c>
      <c r="F23" s="112" t="s">
        <v>178</v>
      </c>
      <c r="G23" s="112" t="s">
        <v>179</v>
      </c>
      <c r="H23" s="112" t="s">
        <v>180</v>
      </c>
      <c r="I23" s="112" t="s">
        <v>181</v>
      </c>
      <c r="J23" s="112" t="s">
        <v>182</v>
      </c>
    </row>
    <row r="24" spans="1:10">
      <c r="A24" s="111" t="s">
        <v>183</v>
      </c>
      <c r="C24" s="111" t="s">
        <v>183</v>
      </c>
    </row>
    <row r="25" spans="1:10">
      <c r="A25" s="111" t="s">
        <v>184</v>
      </c>
      <c r="C25" s="111" t="s">
        <v>185</v>
      </c>
      <c r="F25" s="111" t="s">
        <v>133</v>
      </c>
      <c r="G25" s="111" t="s">
        <v>134</v>
      </c>
      <c r="H25" s="111" t="s">
        <v>135</v>
      </c>
      <c r="I25" s="111" t="s">
        <v>130</v>
      </c>
    </row>
    <row r="26" spans="1:10">
      <c r="A26" s="111" t="s">
        <v>186</v>
      </c>
      <c r="C26" s="111" t="s">
        <v>185</v>
      </c>
      <c r="F26" s="111" t="s">
        <v>133</v>
      </c>
      <c r="G26" s="111" t="s">
        <v>134</v>
      </c>
      <c r="H26" s="111" t="s">
        <v>187</v>
      </c>
      <c r="I26" s="111" t="s">
        <v>188</v>
      </c>
    </row>
    <row r="27" spans="1:10">
      <c r="A27" s="111" t="s">
        <v>189</v>
      </c>
      <c r="C27" s="111" t="s">
        <v>185</v>
      </c>
      <c r="F27" s="111" t="s">
        <v>190</v>
      </c>
      <c r="G27" s="111" t="s">
        <v>191</v>
      </c>
      <c r="H27" s="111" t="s">
        <v>192</v>
      </c>
      <c r="I27" s="111" t="s">
        <v>193</v>
      </c>
    </row>
    <row r="28" spans="1:10">
      <c r="A28" s="111" t="s">
        <v>194</v>
      </c>
      <c r="C28" s="111" t="s">
        <v>185</v>
      </c>
      <c r="F28" s="111" t="s">
        <v>195</v>
      </c>
      <c r="G28" s="111" t="s">
        <v>196</v>
      </c>
      <c r="H28" s="111" t="s">
        <v>197</v>
      </c>
      <c r="I28" s="111" t="s">
        <v>198</v>
      </c>
    </row>
    <row r="29" spans="1:10">
      <c r="A29" s="111" t="s">
        <v>199</v>
      </c>
      <c r="C29" s="111" t="s">
        <v>185</v>
      </c>
      <c r="F29" s="111" t="s">
        <v>200</v>
      </c>
      <c r="G29" s="111" t="s">
        <v>201</v>
      </c>
      <c r="H29" s="111" t="s">
        <v>202</v>
      </c>
      <c r="I29" s="111" t="s">
        <v>203</v>
      </c>
    </row>
    <row r="30" spans="1:10" s="113" customFormat="1">
      <c r="A30" s="112" t="s">
        <v>174</v>
      </c>
      <c r="B30" s="112"/>
      <c r="C30" s="112" t="s">
        <v>175</v>
      </c>
      <c r="D30" s="112" t="s">
        <v>204</v>
      </c>
      <c r="E30" s="112" t="s">
        <v>205</v>
      </c>
      <c r="F30" s="112" t="s">
        <v>206</v>
      </c>
      <c r="G30" s="112" t="s">
        <v>207</v>
      </c>
      <c r="H30" s="112" t="s">
        <v>208</v>
      </c>
      <c r="I30" s="112" t="s">
        <v>209</v>
      </c>
    </row>
    <row r="31" spans="1:10">
      <c r="A31" s="111" t="s">
        <v>210</v>
      </c>
      <c r="C31" s="111" t="s">
        <v>210</v>
      </c>
    </row>
    <row r="32" spans="1:10">
      <c r="A32" s="111" t="s">
        <v>211</v>
      </c>
      <c r="C32" s="111" t="s">
        <v>212</v>
      </c>
      <c r="F32" s="111" t="s">
        <v>213</v>
      </c>
      <c r="G32" s="111" t="s">
        <v>214</v>
      </c>
      <c r="H32" s="111" t="s">
        <v>215</v>
      </c>
      <c r="I32" s="111" t="s">
        <v>203</v>
      </c>
    </row>
    <row r="33" spans="1:10">
      <c r="A33" s="111" t="s">
        <v>216</v>
      </c>
      <c r="C33" s="111" t="s">
        <v>212</v>
      </c>
      <c r="F33" s="111" t="s">
        <v>217</v>
      </c>
      <c r="G33" s="111" t="s">
        <v>218</v>
      </c>
      <c r="H33" s="111" t="s">
        <v>219</v>
      </c>
      <c r="I33" s="111" t="s">
        <v>203</v>
      </c>
    </row>
    <row r="34" spans="1:10">
      <c r="A34" s="111" t="s">
        <v>220</v>
      </c>
      <c r="C34" s="111" t="s">
        <v>212</v>
      </c>
      <c r="F34" s="111" t="s">
        <v>217</v>
      </c>
      <c r="G34" s="111" t="s">
        <v>218</v>
      </c>
      <c r="H34" s="111" t="s">
        <v>219</v>
      </c>
      <c r="I34" s="111" t="s">
        <v>203</v>
      </c>
    </row>
    <row r="35" spans="1:10">
      <c r="A35" s="111" t="s">
        <v>221</v>
      </c>
      <c r="C35" s="111" t="s">
        <v>212</v>
      </c>
      <c r="F35" s="111" t="s">
        <v>217</v>
      </c>
      <c r="G35" s="111" t="s">
        <v>218</v>
      </c>
      <c r="H35" s="111" t="s">
        <v>219</v>
      </c>
      <c r="I35" s="111" t="s">
        <v>203</v>
      </c>
    </row>
    <row r="36" spans="1:10">
      <c r="A36" s="111" t="s">
        <v>222</v>
      </c>
      <c r="C36" s="111" t="s">
        <v>212</v>
      </c>
      <c r="F36" s="111" t="s">
        <v>223</v>
      </c>
      <c r="G36" s="111" t="s">
        <v>224</v>
      </c>
      <c r="H36" s="111" t="s">
        <v>225</v>
      </c>
      <c r="I36" s="111" t="s">
        <v>198</v>
      </c>
    </row>
    <row r="37" spans="1:10" s="113" customFormat="1">
      <c r="A37" s="112" t="s">
        <v>174</v>
      </c>
      <c r="B37" s="112"/>
      <c r="C37" s="112" t="s">
        <v>175</v>
      </c>
      <c r="D37" s="112" t="s">
        <v>204</v>
      </c>
      <c r="E37" s="112" t="s">
        <v>205</v>
      </c>
      <c r="F37" s="112" t="s">
        <v>206</v>
      </c>
      <c r="G37" s="112" t="s">
        <v>207</v>
      </c>
      <c r="H37" s="112" t="s">
        <v>208</v>
      </c>
      <c r="I37" s="112" t="s">
        <v>209</v>
      </c>
    </row>
    <row r="38" spans="1:10">
      <c r="A38" s="111" t="s">
        <v>226</v>
      </c>
      <c r="C38" s="111" t="s">
        <v>226</v>
      </c>
    </row>
    <row r="39" spans="1:10">
      <c r="A39" s="111" t="s">
        <v>227</v>
      </c>
      <c r="C39" s="111" t="s">
        <v>228</v>
      </c>
      <c r="F39" s="111" t="s">
        <v>133</v>
      </c>
      <c r="G39" s="111" t="s">
        <v>134</v>
      </c>
      <c r="H39" s="111" t="s">
        <v>135</v>
      </c>
      <c r="I39" s="111" t="s">
        <v>130</v>
      </c>
    </row>
    <row r="40" spans="1:10">
      <c r="A40" s="111" t="s">
        <v>229</v>
      </c>
      <c r="C40" s="111" t="s">
        <v>230</v>
      </c>
      <c r="F40" s="111" t="s">
        <v>127</v>
      </c>
      <c r="G40" s="111" t="s">
        <v>231</v>
      </c>
      <c r="H40" s="111" t="s">
        <v>129</v>
      </c>
      <c r="I40" s="111" t="s">
        <v>188</v>
      </c>
    </row>
    <row r="41" spans="1:10">
      <c r="A41" s="111" t="s">
        <v>232</v>
      </c>
      <c r="C41" s="111" t="s">
        <v>230</v>
      </c>
      <c r="F41" s="111" t="s">
        <v>233</v>
      </c>
      <c r="G41" s="111" t="s">
        <v>234</v>
      </c>
      <c r="H41" s="111" t="s">
        <v>188</v>
      </c>
    </row>
    <row r="42" spans="1:10">
      <c r="A42" s="111" t="s">
        <v>235</v>
      </c>
      <c r="C42" s="111" t="s">
        <v>230</v>
      </c>
      <c r="F42" s="111" t="s">
        <v>236</v>
      </c>
      <c r="G42" s="111" t="s">
        <v>237</v>
      </c>
      <c r="H42" s="111" t="s">
        <v>238</v>
      </c>
    </row>
    <row r="43" spans="1:10">
      <c r="A43" s="111" t="s">
        <v>239</v>
      </c>
      <c r="C43" s="111" t="s">
        <v>240</v>
      </c>
      <c r="F43" s="111" t="s">
        <v>241</v>
      </c>
      <c r="G43" s="111" t="s">
        <v>242</v>
      </c>
      <c r="H43" s="111" t="s">
        <v>147</v>
      </c>
    </row>
    <row r="44" spans="1:10">
      <c r="A44" s="111" t="s">
        <v>243</v>
      </c>
      <c r="C44" s="111" t="s">
        <v>244</v>
      </c>
      <c r="F44" s="111" t="s">
        <v>133</v>
      </c>
      <c r="G44" s="111" t="s">
        <v>134</v>
      </c>
      <c r="H44" s="111" t="s">
        <v>135</v>
      </c>
      <c r="I44" s="111" t="s">
        <v>130</v>
      </c>
    </row>
    <row r="45" spans="1:10" s="113" customFormat="1">
      <c r="A45" s="112" t="s">
        <v>174</v>
      </c>
      <c r="B45" s="112"/>
      <c r="C45" s="112" t="s">
        <v>175</v>
      </c>
      <c r="D45" s="112" t="s">
        <v>245</v>
      </c>
      <c r="E45" s="112" t="s">
        <v>205</v>
      </c>
      <c r="F45" s="112" t="s">
        <v>246</v>
      </c>
      <c r="G45" s="112" t="s">
        <v>247</v>
      </c>
      <c r="H45" s="112" t="s">
        <v>248</v>
      </c>
      <c r="I45" s="112" t="s">
        <v>249</v>
      </c>
      <c r="J45" s="112" t="s">
        <v>250</v>
      </c>
    </row>
    <row r="46" spans="1:10">
      <c r="A46" s="111" t="s">
        <v>251</v>
      </c>
      <c r="C46" s="111" t="s">
        <v>251</v>
      </c>
    </row>
    <row r="47" spans="1:10">
      <c r="A47" s="111" t="s">
        <v>252</v>
      </c>
      <c r="C47" s="111" t="s">
        <v>253</v>
      </c>
      <c r="F47" s="111" t="s">
        <v>254</v>
      </c>
      <c r="G47" s="111" t="s">
        <v>255</v>
      </c>
      <c r="H47" s="111" t="s">
        <v>256</v>
      </c>
      <c r="I47" s="111" t="s">
        <v>257</v>
      </c>
    </row>
    <row r="48" spans="1:10">
      <c r="A48" s="111" t="s">
        <v>258</v>
      </c>
      <c r="C48" s="111" t="s">
        <v>259</v>
      </c>
      <c r="F48" s="111" t="s">
        <v>213</v>
      </c>
      <c r="G48" s="111" t="s">
        <v>260</v>
      </c>
      <c r="H48" s="111" t="s">
        <v>261</v>
      </c>
      <c r="I48" s="111" t="s">
        <v>238</v>
      </c>
    </row>
    <row r="49" spans="1:10">
      <c r="A49" s="111" t="s">
        <v>262</v>
      </c>
      <c r="C49" s="111" t="s">
        <v>259</v>
      </c>
      <c r="F49" s="111" t="s">
        <v>223</v>
      </c>
      <c r="G49" s="111" t="s">
        <v>263</v>
      </c>
      <c r="H49" s="111" t="s">
        <v>261</v>
      </c>
      <c r="I49" s="111" t="s">
        <v>238</v>
      </c>
    </row>
    <row r="50" spans="1:10">
      <c r="A50" s="111" t="s">
        <v>264</v>
      </c>
      <c r="C50" s="111" t="s">
        <v>265</v>
      </c>
      <c r="F50" s="111" t="s">
        <v>213</v>
      </c>
      <c r="G50" s="111" t="s">
        <v>260</v>
      </c>
      <c r="H50" s="111" t="s">
        <v>261</v>
      </c>
      <c r="I50" s="111" t="s">
        <v>238</v>
      </c>
    </row>
    <row r="51" spans="1:10">
      <c r="A51" s="111" t="s">
        <v>266</v>
      </c>
      <c r="C51" s="111" t="s">
        <v>267</v>
      </c>
      <c r="F51" s="111" t="s">
        <v>268</v>
      </c>
      <c r="G51" s="111" t="s">
        <v>269</v>
      </c>
      <c r="H51" s="111" t="s">
        <v>270</v>
      </c>
      <c r="I51" s="111" t="s">
        <v>271</v>
      </c>
    </row>
    <row r="52" spans="1:10">
      <c r="A52" s="111" t="s">
        <v>272</v>
      </c>
      <c r="C52" s="111" t="s">
        <v>267</v>
      </c>
      <c r="F52" s="111" t="s">
        <v>268</v>
      </c>
      <c r="G52" s="111" t="s">
        <v>269</v>
      </c>
      <c r="H52" s="111" t="s">
        <v>270</v>
      </c>
      <c r="I52" s="111" t="s">
        <v>271</v>
      </c>
    </row>
    <row r="53" spans="1:10" s="113" customFormat="1">
      <c r="A53" s="112" t="s">
        <v>174</v>
      </c>
      <c r="B53" s="112"/>
      <c r="C53" s="112" t="s">
        <v>175</v>
      </c>
      <c r="D53" s="112" t="s">
        <v>245</v>
      </c>
      <c r="E53" s="112" t="s">
        <v>205</v>
      </c>
      <c r="F53" s="112" t="s">
        <v>246</v>
      </c>
      <c r="G53" s="112" t="s">
        <v>247</v>
      </c>
      <c r="H53" s="112" t="s">
        <v>273</v>
      </c>
      <c r="I53" s="112" t="s">
        <v>274</v>
      </c>
      <c r="J53" s="112" t="s">
        <v>250</v>
      </c>
    </row>
    <row r="54" spans="1:10">
      <c r="A54" s="111" t="s">
        <v>275</v>
      </c>
      <c r="C54" s="111" t="s">
        <v>275</v>
      </c>
    </row>
    <row r="55" spans="1:10">
      <c r="A55" s="111" t="s">
        <v>276</v>
      </c>
      <c r="C55" s="111" t="s">
        <v>277</v>
      </c>
      <c r="F55" s="111" t="s">
        <v>278</v>
      </c>
      <c r="G55" s="111" t="s">
        <v>279</v>
      </c>
      <c r="H55" s="111" t="s">
        <v>280</v>
      </c>
      <c r="I55" s="111" t="s">
        <v>198</v>
      </c>
    </row>
    <row r="56" spans="1:10">
      <c r="A56" s="111" t="s">
        <v>281</v>
      </c>
      <c r="C56" s="111" t="s">
        <v>277</v>
      </c>
      <c r="F56" s="111" t="s">
        <v>236</v>
      </c>
      <c r="G56" s="111" t="s">
        <v>282</v>
      </c>
      <c r="H56" s="111" t="s">
        <v>143</v>
      </c>
      <c r="I56" s="111" t="s">
        <v>238</v>
      </c>
    </row>
    <row r="57" spans="1:10">
      <c r="A57" s="111" t="s">
        <v>283</v>
      </c>
      <c r="C57" s="111" t="s">
        <v>277</v>
      </c>
      <c r="F57" s="111" t="s">
        <v>254</v>
      </c>
      <c r="G57" s="111" t="s">
        <v>284</v>
      </c>
      <c r="H57" s="111" t="s">
        <v>280</v>
      </c>
      <c r="I57" s="111" t="s">
        <v>198</v>
      </c>
    </row>
    <row r="58" spans="1:10">
      <c r="A58" s="111" t="s">
        <v>285</v>
      </c>
      <c r="C58" s="111" t="s">
        <v>277</v>
      </c>
      <c r="F58" s="111" t="s">
        <v>286</v>
      </c>
      <c r="G58" s="111" t="s">
        <v>287</v>
      </c>
      <c r="H58" s="111" t="s">
        <v>280</v>
      </c>
      <c r="I58" s="111" t="s">
        <v>288</v>
      </c>
    </row>
    <row r="59" spans="1:10">
      <c r="A59" s="111" t="s">
        <v>289</v>
      </c>
      <c r="C59" s="111" t="s">
        <v>290</v>
      </c>
      <c r="F59" s="111" t="s">
        <v>291</v>
      </c>
      <c r="G59" s="111" t="s">
        <v>292</v>
      </c>
      <c r="H59" s="111" t="s">
        <v>293</v>
      </c>
      <c r="I59" s="111" t="s">
        <v>294</v>
      </c>
    </row>
    <row r="60" spans="1:10">
      <c r="A60" s="111" t="s">
        <v>295</v>
      </c>
      <c r="C60" s="111" t="s">
        <v>290</v>
      </c>
      <c r="F60" s="111" t="s">
        <v>291</v>
      </c>
      <c r="G60" s="111" t="s">
        <v>292</v>
      </c>
      <c r="H60" s="111" t="s">
        <v>293</v>
      </c>
      <c r="I60" s="111" t="s">
        <v>294</v>
      </c>
    </row>
    <row r="61" spans="1:10">
      <c r="A61" s="111" t="s">
        <v>296</v>
      </c>
      <c r="C61" s="111" t="s">
        <v>290</v>
      </c>
      <c r="F61" s="111" t="s">
        <v>297</v>
      </c>
      <c r="G61" s="111" t="s">
        <v>298</v>
      </c>
      <c r="H61" s="111" t="s">
        <v>256</v>
      </c>
      <c r="I61" s="111" t="s">
        <v>147</v>
      </c>
    </row>
    <row r="62" spans="1:10">
      <c r="A62" s="111" t="s">
        <v>299</v>
      </c>
      <c r="C62" s="111" t="s">
        <v>290</v>
      </c>
      <c r="F62" s="111" t="s">
        <v>300</v>
      </c>
      <c r="G62" s="111" t="s">
        <v>198</v>
      </c>
    </row>
    <row r="63" spans="1:10">
      <c r="A63" s="111" t="s">
        <v>301</v>
      </c>
      <c r="C63" s="111" t="s">
        <v>290</v>
      </c>
      <c r="F63" s="111" t="s">
        <v>297</v>
      </c>
      <c r="G63" s="111" t="s">
        <v>298</v>
      </c>
      <c r="H63" s="111" t="s">
        <v>256</v>
      </c>
      <c r="I63" s="111" t="s">
        <v>147</v>
      </c>
    </row>
    <row r="64" spans="1:10" s="113" customFormat="1">
      <c r="A64" s="112" t="s">
        <v>174</v>
      </c>
      <c r="B64" s="112"/>
      <c r="C64" s="112" t="s">
        <v>175</v>
      </c>
      <c r="D64" s="112" t="s">
        <v>204</v>
      </c>
      <c r="E64" s="112" t="s">
        <v>205</v>
      </c>
      <c r="F64" s="112" t="s">
        <v>302</v>
      </c>
      <c r="G64" s="112" t="s">
        <v>303</v>
      </c>
      <c r="H64" s="112" t="s">
        <v>304</v>
      </c>
      <c r="I64" s="112" t="s">
        <v>305</v>
      </c>
    </row>
    <row r="65" spans="1:9">
      <c r="A65" s="111" t="s">
        <v>306</v>
      </c>
      <c r="C65" s="111" t="s">
        <v>307</v>
      </c>
    </row>
    <row r="66" spans="1:9">
      <c r="A66" s="111" t="s">
        <v>308</v>
      </c>
      <c r="C66" s="111" t="s">
        <v>309</v>
      </c>
      <c r="F66" s="111" t="s">
        <v>291</v>
      </c>
      <c r="G66" s="111" t="s">
        <v>292</v>
      </c>
      <c r="H66" s="111" t="s">
        <v>293</v>
      </c>
      <c r="I66" s="111" t="s">
        <v>294</v>
      </c>
    </row>
    <row r="67" spans="1:9">
      <c r="A67" s="111" t="s">
        <v>310</v>
      </c>
      <c r="C67" s="111" t="s">
        <v>309</v>
      </c>
      <c r="F67" s="111" t="s">
        <v>291</v>
      </c>
      <c r="G67" s="111" t="s">
        <v>292</v>
      </c>
      <c r="H67" s="111" t="s">
        <v>293</v>
      </c>
      <c r="I67" s="111" t="s">
        <v>294</v>
      </c>
    </row>
    <row r="68" spans="1:9">
      <c r="A68" s="111" t="s">
        <v>311</v>
      </c>
      <c r="C68" s="111" t="s">
        <v>312</v>
      </c>
      <c r="F68" s="111" t="s">
        <v>291</v>
      </c>
      <c r="G68" s="111" t="s">
        <v>292</v>
      </c>
      <c r="H68" s="111" t="s">
        <v>293</v>
      </c>
      <c r="I68" s="111" t="s">
        <v>294</v>
      </c>
    </row>
    <row r="69" spans="1:9">
      <c r="A69" s="111" t="s">
        <v>313</v>
      </c>
      <c r="C69" s="111" t="s">
        <v>314</v>
      </c>
      <c r="F69" s="111" t="s">
        <v>291</v>
      </c>
      <c r="G69" s="111" t="s">
        <v>292</v>
      </c>
      <c r="H69" s="111" t="s">
        <v>293</v>
      </c>
      <c r="I69" s="111" t="s">
        <v>294</v>
      </c>
    </row>
    <row r="70" spans="1:9">
      <c r="A70" s="111" t="s">
        <v>315</v>
      </c>
      <c r="C70" s="111" t="s">
        <v>316</v>
      </c>
      <c r="F70" s="111" t="s">
        <v>291</v>
      </c>
      <c r="G70" s="111" t="s">
        <v>292</v>
      </c>
      <c r="H70" s="111" t="s">
        <v>293</v>
      </c>
      <c r="I70" s="111" t="s">
        <v>294</v>
      </c>
    </row>
    <row r="71" spans="1:9">
      <c r="A71" s="111" t="s">
        <v>317</v>
      </c>
      <c r="C71" s="111" t="s">
        <v>309</v>
      </c>
      <c r="F71" s="111" t="s">
        <v>291</v>
      </c>
      <c r="G71" s="111" t="s">
        <v>292</v>
      </c>
      <c r="H71" s="111" t="s">
        <v>293</v>
      </c>
      <c r="I71" s="111" t="s">
        <v>294</v>
      </c>
    </row>
    <row r="72" spans="1:9">
      <c r="A72" s="111" t="s">
        <v>318</v>
      </c>
      <c r="C72" s="111" t="s">
        <v>319</v>
      </c>
      <c r="F72" s="111" t="s">
        <v>297</v>
      </c>
      <c r="G72" s="111" t="s">
        <v>298</v>
      </c>
      <c r="H72" s="111" t="s">
        <v>256</v>
      </c>
      <c r="I72" s="111" t="s">
        <v>147</v>
      </c>
    </row>
    <row r="73" spans="1:9">
      <c r="A73" s="111" t="s">
        <v>320</v>
      </c>
      <c r="C73" s="111" t="s">
        <v>319</v>
      </c>
      <c r="F73" s="111" t="s">
        <v>297</v>
      </c>
      <c r="G73" s="111" t="s">
        <v>298</v>
      </c>
      <c r="H73" s="111" t="s">
        <v>256</v>
      </c>
      <c r="I73" s="111" t="s">
        <v>147</v>
      </c>
    </row>
    <row r="74" spans="1:9">
      <c r="A74" s="111" t="s">
        <v>321</v>
      </c>
      <c r="C74" s="111" t="s">
        <v>319</v>
      </c>
      <c r="F74" s="111" t="s">
        <v>291</v>
      </c>
      <c r="G74" s="111" t="s">
        <v>292</v>
      </c>
      <c r="H74" s="111" t="s">
        <v>293</v>
      </c>
      <c r="I74" s="111" t="s">
        <v>294</v>
      </c>
    </row>
    <row r="75" spans="1:9">
      <c r="A75" s="111" t="s">
        <v>322</v>
      </c>
      <c r="C75" s="111" t="s">
        <v>319</v>
      </c>
      <c r="F75" s="111" t="s">
        <v>291</v>
      </c>
      <c r="G75" s="111" t="s">
        <v>292</v>
      </c>
      <c r="H75" s="111" t="s">
        <v>293</v>
      </c>
      <c r="I75" s="111" t="s">
        <v>294</v>
      </c>
    </row>
    <row r="76" spans="1:9">
      <c r="A76" s="111" t="s">
        <v>323</v>
      </c>
      <c r="C76" s="111" t="s">
        <v>319</v>
      </c>
      <c r="F76" s="111" t="s">
        <v>291</v>
      </c>
      <c r="G76" s="111" t="s">
        <v>292</v>
      </c>
      <c r="H76" s="111" t="s">
        <v>293</v>
      </c>
      <c r="I76" s="111" t="s">
        <v>294</v>
      </c>
    </row>
    <row r="77" spans="1:9">
      <c r="A77" s="111" t="s">
        <v>324</v>
      </c>
      <c r="C77" s="111" t="s">
        <v>309</v>
      </c>
      <c r="F77" s="111" t="s">
        <v>291</v>
      </c>
      <c r="G77" s="111" t="s">
        <v>292</v>
      </c>
      <c r="H77" s="111" t="s">
        <v>293</v>
      </c>
      <c r="I77" s="111" t="s">
        <v>294</v>
      </c>
    </row>
    <row r="78" spans="1:9">
      <c r="A78" s="111" t="s">
        <v>325</v>
      </c>
      <c r="C78" s="111" t="s">
        <v>326</v>
      </c>
      <c r="F78" s="111" t="s">
        <v>291</v>
      </c>
      <c r="G78" s="111" t="s">
        <v>292</v>
      </c>
      <c r="H78" s="111" t="s">
        <v>293</v>
      </c>
      <c r="I78" s="111" t="s">
        <v>294</v>
      </c>
    </row>
    <row r="79" spans="1:9">
      <c r="A79" s="111" t="s">
        <v>327</v>
      </c>
      <c r="C79" s="111" t="s">
        <v>328</v>
      </c>
      <c r="F79" s="111" t="s">
        <v>291</v>
      </c>
      <c r="G79" s="111" t="s">
        <v>292</v>
      </c>
      <c r="H79" s="111" t="s">
        <v>293</v>
      </c>
      <c r="I79" s="111" t="s">
        <v>294</v>
      </c>
    </row>
    <row r="80" spans="1:9">
      <c r="A80" s="111" t="s">
        <v>329</v>
      </c>
      <c r="C80" s="111" t="s">
        <v>330</v>
      </c>
      <c r="F80" s="111" t="s">
        <v>291</v>
      </c>
      <c r="G80" s="111" t="s">
        <v>292</v>
      </c>
      <c r="H80" s="111" t="s">
        <v>293</v>
      </c>
      <c r="I80" s="111" t="s">
        <v>294</v>
      </c>
    </row>
    <row r="81" spans="1:10">
      <c r="A81" s="111" t="s">
        <v>331</v>
      </c>
      <c r="C81" s="111" t="s">
        <v>309</v>
      </c>
      <c r="F81" s="111" t="s">
        <v>291</v>
      </c>
      <c r="G81" s="111" t="s">
        <v>292</v>
      </c>
      <c r="H81" s="111" t="s">
        <v>293</v>
      </c>
      <c r="I81" s="111" t="s">
        <v>294</v>
      </c>
    </row>
    <row r="82" spans="1:10">
      <c r="A82" s="111" t="s">
        <v>332</v>
      </c>
      <c r="C82" s="111" t="s">
        <v>333</v>
      </c>
      <c r="F82" s="111" t="s">
        <v>291</v>
      </c>
      <c r="G82" s="111" t="s">
        <v>292</v>
      </c>
      <c r="H82" s="111" t="s">
        <v>293</v>
      </c>
      <c r="I82" s="111" t="s">
        <v>294</v>
      </c>
    </row>
    <row r="83" spans="1:10" s="113" customFormat="1">
      <c r="A83" s="112" t="s">
        <v>174</v>
      </c>
      <c r="B83" s="112"/>
      <c r="C83" s="112" t="s">
        <v>175</v>
      </c>
      <c r="D83" s="112" t="s">
        <v>245</v>
      </c>
      <c r="E83" s="112" t="s">
        <v>205</v>
      </c>
      <c r="F83" s="112" t="s">
        <v>334</v>
      </c>
      <c r="G83" s="112" t="s">
        <v>335</v>
      </c>
      <c r="H83" s="112" t="s">
        <v>336</v>
      </c>
      <c r="I83" s="112" t="s">
        <v>337</v>
      </c>
      <c r="J83" s="112" t="s">
        <v>338</v>
      </c>
    </row>
    <row r="84" spans="1:10">
      <c r="A84" t="s">
        <v>356</v>
      </c>
      <c r="B84"/>
      <c r="C84"/>
      <c r="D84"/>
      <c r="E84"/>
      <c r="F84"/>
      <c r="G84"/>
      <c r="H84"/>
      <c r="I84"/>
    </row>
    <row r="85" spans="1:10">
      <c r="A85" t="s">
        <v>308</v>
      </c>
      <c r="B85"/>
      <c r="C85" t="s">
        <v>357</v>
      </c>
      <c r="D85"/>
      <c r="E85"/>
      <c r="F85" t="s">
        <v>291</v>
      </c>
      <c r="G85" t="s">
        <v>292</v>
      </c>
      <c r="H85" t="s">
        <v>293</v>
      </c>
      <c r="I85" t="s">
        <v>294</v>
      </c>
    </row>
    <row r="86" spans="1:10">
      <c r="A86" t="s">
        <v>310</v>
      </c>
      <c r="B86"/>
      <c r="C86" t="s">
        <v>357</v>
      </c>
      <c r="D86"/>
      <c r="E86"/>
      <c r="F86" t="s">
        <v>291</v>
      </c>
      <c r="G86" t="s">
        <v>292</v>
      </c>
      <c r="H86" t="s">
        <v>293</v>
      </c>
      <c r="I86" t="s">
        <v>294</v>
      </c>
    </row>
    <row r="87" spans="1:10">
      <c r="A87" t="s">
        <v>358</v>
      </c>
      <c r="B87"/>
      <c r="C87"/>
      <c r="D87"/>
      <c r="E87"/>
      <c r="F87"/>
      <c r="G87"/>
      <c r="H87"/>
      <c r="I87"/>
    </row>
    <row r="88" spans="1:10">
      <c r="A88" t="s">
        <v>331</v>
      </c>
      <c r="B88"/>
      <c r="C88" t="s">
        <v>357</v>
      </c>
      <c r="D88"/>
      <c r="E88"/>
      <c r="F88" t="s">
        <v>291</v>
      </c>
      <c r="G88" t="s">
        <v>292</v>
      </c>
      <c r="H88" t="s">
        <v>293</v>
      </c>
      <c r="I88" t="s">
        <v>294</v>
      </c>
    </row>
    <row r="89" spans="1:10">
      <c r="A89" t="s">
        <v>332</v>
      </c>
      <c r="B89"/>
      <c r="C89" t="s">
        <v>357</v>
      </c>
      <c r="D89"/>
      <c r="E89"/>
      <c r="F89" t="s">
        <v>291</v>
      </c>
      <c r="G89" t="s">
        <v>292</v>
      </c>
      <c r="H89" t="s">
        <v>293</v>
      </c>
      <c r="I89" t="s">
        <v>294</v>
      </c>
    </row>
    <row r="90" spans="1:10" s="113" customFormat="1">
      <c r="A90" s="112" t="s">
        <v>174</v>
      </c>
      <c r="B90" s="112"/>
      <c r="C90" s="112" t="s">
        <v>175</v>
      </c>
      <c r="D90" s="112" t="s">
        <v>355</v>
      </c>
      <c r="E90" s="112" t="s">
        <v>205</v>
      </c>
      <c r="F90" s="112" t="s">
        <v>359</v>
      </c>
      <c r="G90" s="112" t="s">
        <v>360</v>
      </c>
      <c r="H90" s="112" t="s">
        <v>361</v>
      </c>
      <c r="I90" s="112" t="s">
        <v>362</v>
      </c>
      <c r="J90" s="112"/>
    </row>
    <row r="91" spans="1:10">
      <c r="A91" t="s">
        <v>363</v>
      </c>
      <c r="B91"/>
      <c r="C91"/>
      <c r="D91"/>
      <c r="E91"/>
      <c r="F91"/>
      <c r="G91"/>
      <c r="H91"/>
      <c r="I91"/>
    </row>
    <row r="92" spans="1:10">
      <c r="A92" t="s">
        <v>125</v>
      </c>
      <c r="B92"/>
      <c r="C92" t="s">
        <v>126</v>
      </c>
      <c r="D92"/>
      <c r="E92"/>
      <c r="F92" t="s">
        <v>127</v>
      </c>
      <c r="G92" t="s">
        <v>128</v>
      </c>
      <c r="H92" t="s">
        <v>129</v>
      </c>
      <c r="I92" t="s">
        <v>130</v>
      </c>
    </row>
    <row r="93" spans="1:10">
      <c r="A93" t="s">
        <v>311</v>
      </c>
      <c r="B93"/>
      <c r="C93" t="s">
        <v>126</v>
      </c>
      <c r="D93"/>
      <c r="E93"/>
      <c r="F93" t="s">
        <v>291</v>
      </c>
      <c r="G93" t="s">
        <v>292</v>
      </c>
      <c r="H93" t="s">
        <v>293</v>
      </c>
      <c r="I93" t="s">
        <v>294</v>
      </c>
    </row>
    <row r="94" spans="1:10">
      <c r="A94" t="s">
        <v>313</v>
      </c>
      <c r="B94"/>
      <c r="C94" t="s">
        <v>126</v>
      </c>
      <c r="D94"/>
      <c r="E94"/>
      <c r="F94" t="s">
        <v>291</v>
      </c>
      <c r="G94" t="s">
        <v>292</v>
      </c>
      <c r="H94" t="s">
        <v>293</v>
      </c>
      <c r="I94" t="s">
        <v>294</v>
      </c>
    </row>
    <row r="95" spans="1:10">
      <c r="A95" t="s">
        <v>315</v>
      </c>
      <c r="B95"/>
      <c r="C95" t="s">
        <v>126</v>
      </c>
      <c r="D95"/>
      <c r="E95"/>
      <c r="F95" t="s">
        <v>291</v>
      </c>
      <c r="G95" t="s">
        <v>292</v>
      </c>
      <c r="H95" t="s">
        <v>293</v>
      </c>
      <c r="I95" t="s">
        <v>294</v>
      </c>
    </row>
    <row r="96" spans="1:10">
      <c r="A96" t="s">
        <v>148</v>
      </c>
      <c r="B96"/>
      <c r="C96" t="s">
        <v>149</v>
      </c>
      <c r="D96"/>
      <c r="E96"/>
      <c r="F96" t="s">
        <v>127</v>
      </c>
      <c r="G96" t="s">
        <v>128</v>
      </c>
      <c r="H96" t="s">
        <v>129</v>
      </c>
      <c r="I96" t="s">
        <v>130</v>
      </c>
    </row>
    <row r="97" spans="1:10">
      <c r="A97" t="s">
        <v>325</v>
      </c>
      <c r="B97"/>
      <c r="C97" t="s">
        <v>149</v>
      </c>
      <c r="D97"/>
      <c r="E97"/>
      <c r="F97" t="s">
        <v>291</v>
      </c>
      <c r="G97" t="s">
        <v>292</v>
      </c>
      <c r="H97" t="s">
        <v>293</v>
      </c>
      <c r="I97" t="s">
        <v>294</v>
      </c>
    </row>
    <row r="98" spans="1:10">
      <c r="A98" t="s">
        <v>327</v>
      </c>
      <c r="B98"/>
      <c r="C98" t="s">
        <v>149</v>
      </c>
      <c r="D98"/>
      <c r="E98"/>
      <c r="F98" t="s">
        <v>291</v>
      </c>
      <c r="G98" t="s">
        <v>292</v>
      </c>
      <c r="H98" t="s">
        <v>293</v>
      </c>
      <c r="I98" t="s">
        <v>294</v>
      </c>
    </row>
    <row r="99" spans="1:10">
      <c r="A99" t="s">
        <v>329</v>
      </c>
      <c r="B99"/>
      <c r="C99" t="s">
        <v>149</v>
      </c>
      <c r="D99"/>
      <c r="E99"/>
      <c r="F99" t="s">
        <v>291</v>
      </c>
      <c r="G99" t="s">
        <v>292</v>
      </c>
      <c r="H99" t="s">
        <v>293</v>
      </c>
      <c r="I99" t="s">
        <v>294</v>
      </c>
    </row>
    <row r="100" spans="1:10" s="113" customFormat="1">
      <c r="A100" s="112" t="s">
        <v>174</v>
      </c>
      <c r="B100" s="112"/>
      <c r="C100" s="112" t="s">
        <v>175</v>
      </c>
      <c r="D100" s="112" t="s">
        <v>355</v>
      </c>
      <c r="E100" s="112" t="s">
        <v>205</v>
      </c>
      <c r="F100" s="112" t="s">
        <v>364</v>
      </c>
      <c r="G100" s="112" t="s">
        <v>365</v>
      </c>
      <c r="H100" s="112" t="s">
        <v>366</v>
      </c>
      <c r="I100" s="112" t="s">
        <v>367</v>
      </c>
      <c r="J100" s="112"/>
    </row>
    <row r="101" spans="1:10">
      <c r="A101" t="s">
        <v>368</v>
      </c>
      <c r="B101"/>
      <c r="C101"/>
      <c r="D101"/>
      <c r="E101"/>
      <c r="F101"/>
      <c r="G101"/>
      <c r="H101"/>
      <c r="I101"/>
    </row>
    <row r="102" spans="1:10">
      <c r="A102" t="s">
        <v>311</v>
      </c>
      <c r="B102"/>
      <c r="C102" t="s">
        <v>312</v>
      </c>
      <c r="D102"/>
      <c r="E102"/>
      <c r="F102" t="s">
        <v>291</v>
      </c>
      <c r="G102" t="s">
        <v>292</v>
      </c>
      <c r="H102" t="s">
        <v>293</v>
      </c>
      <c r="I102" t="s">
        <v>294</v>
      </c>
    </row>
    <row r="103" spans="1:10">
      <c r="A103" t="s">
        <v>313</v>
      </c>
      <c r="B103"/>
      <c r="C103" t="s">
        <v>314</v>
      </c>
      <c r="D103"/>
      <c r="E103"/>
      <c r="F103" t="s">
        <v>291</v>
      </c>
      <c r="G103" t="s">
        <v>292</v>
      </c>
      <c r="H103" t="s">
        <v>293</v>
      </c>
      <c r="I103" t="s">
        <v>294</v>
      </c>
    </row>
    <row r="104" spans="1:10">
      <c r="A104" t="s">
        <v>315</v>
      </c>
      <c r="B104"/>
      <c r="C104" t="s">
        <v>316</v>
      </c>
      <c r="D104"/>
      <c r="E104"/>
      <c r="F104" t="s">
        <v>291</v>
      </c>
      <c r="G104" t="s">
        <v>292</v>
      </c>
      <c r="H104" t="s">
        <v>293</v>
      </c>
      <c r="I104" t="s">
        <v>294</v>
      </c>
    </row>
    <row r="105" spans="1:10" s="113" customFormat="1">
      <c r="A105" s="112" t="s">
        <v>369</v>
      </c>
      <c r="B105" s="112"/>
      <c r="C105" s="112"/>
      <c r="D105" s="112"/>
      <c r="E105" s="112"/>
      <c r="F105" s="112"/>
      <c r="G105" s="112"/>
      <c r="H105" s="112"/>
      <c r="I105" s="112"/>
      <c r="J105" s="112"/>
    </row>
    <row r="106" spans="1:10">
      <c r="A106" t="s">
        <v>324</v>
      </c>
      <c r="B106"/>
      <c r="C106" t="s">
        <v>309</v>
      </c>
      <c r="D106"/>
      <c r="E106"/>
      <c r="F106" t="s">
        <v>291</v>
      </c>
      <c r="G106" t="s">
        <v>292</v>
      </c>
      <c r="H106" t="s">
        <v>293</v>
      </c>
      <c r="I106" t="s">
        <v>294</v>
      </c>
    </row>
    <row r="107" spans="1:10">
      <c r="A107" t="s">
        <v>325</v>
      </c>
      <c r="B107"/>
      <c r="C107" t="s">
        <v>326</v>
      </c>
      <c r="D107"/>
      <c r="E107"/>
      <c r="F107" t="s">
        <v>291</v>
      </c>
      <c r="G107" t="s">
        <v>292</v>
      </c>
      <c r="H107" t="s">
        <v>293</v>
      </c>
      <c r="I107" t="s">
        <v>294</v>
      </c>
    </row>
    <row r="108" spans="1:10">
      <c r="A108" t="s">
        <v>327</v>
      </c>
      <c r="B108"/>
      <c r="C108" t="s">
        <v>328</v>
      </c>
      <c r="D108"/>
      <c r="E108"/>
      <c r="F108" t="s">
        <v>291</v>
      </c>
      <c r="G108" t="s">
        <v>292</v>
      </c>
      <c r="H108" t="s">
        <v>293</v>
      </c>
      <c r="I108" t="s">
        <v>294</v>
      </c>
    </row>
    <row r="109" spans="1:10" s="113" customFormat="1">
      <c r="A109" s="112" t="s">
        <v>174</v>
      </c>
      <c r="B109" s="112"/>
      <c r="C109" s="112" t="s">
        <v>175</v>
      </c>
      <c r="D109" s="112" t="s">
        <v>355</v>
      </c>
      <c r="E109" s="112" t="s">
        <v>205</v>
      </c>
      <c r="F109" s="112" t="s">
        <v>370</v>
      </c>
      <c r="G109" s="112" t="s">
        <v>371</v>
      </c>
      <c r="H109" s="112" t="s">
        <v>372</v>
      </c>
      <c r="I109" s="112" t="s">
        <v>250</v>
      </c>
      <c r="J109" s="112"/>
    </row>
    <row r="110" spans="1:10">
      <c r="A110" t="s">
        <v>373</v>
      </c>
      <c r="B110"/>
      <c r="C110"/>
      <c r="D110"/>
      <c r="E110"/>
      <c r="F110"/>
      <c r="G110"/>
      <c r="H110"/>
      <c r="I110"/>
    </row>
    <row r="111" spans="1:10">
      <c r="A111" t="s">
        <v>308</v>
      </c>
      <c r="B111"/>
      <c r="C111" t="s">
        <v>374</v>
      </c>
      <c r="D111"/>
      <c r="E111"/>
      <c r="F111" t="s">
        <v>291</v>
      </c>
      <c r="G111" t="s">
        <v>292</v>
      </c>
      <c r="H111" t="s">
        <v>293</v>
      </c>
      <c r="I111" t="s">
        <v>294</v>
      </c>
    </row>
    <row r="112" spans="1:10">
      <c r="A112" t="s">
        <v>310</v>
      </c>
      <c r="B112"/>
      <c r="C112" t="s">
        <v>374</v>
      </c>
      <c r="D112"/>
      <c r="E112"/>
      <c r="F112" t="s">
        <v>291</v>
      </c>
      <c r="G112" t="s">
        <v>292</v>
      </c>
      <c r="H112" t="s">
        <v>293</v>
      </c>
      <c r="I112" t="s">
        <v>294</v>
      </c>
    </row>
    <row r="113" spans="1:10">
      <c r="A113" t="s">
        <v>331</v>
      </c>
      <c r="B113"/>
      <c r="C113" t="s">
        <v>333</v>
      </c>
      <c r="D113"/>
      <c r="E113"/>
      <c r="F113" t="s">
        <v>291</v>
      </c>
      <c r="G113" t="s">
        <v>292</v>
      </c>
      <c r="H113" t="s">
        <v>293</v>
      </c>
      <c r="I113" t="s">
        <v>294</v>
      </c>
    </row>
    <row r="114" spans="1:10">
      <c r="A114" t="s">
        <v>332</v>
      </c>
      <c r="B114"/>
      <c r="C114" t="s">
        <v>333</v>
      </c>
      <c r="D114"/>
      <c r="E114"/>
      <c r="F114" t="s">
        <v>291</v>
      </c>
      <c r="G114" t="s">
        <v>292</v>
      </c>
      <c r="H114" t="s">
        <v>293</v>
      </c>
      <c r="I114" t="s">
        <v>294</v>
      </c>
    </row>
    <row r="115" spans="1:10" s="113" customFormat="1">
      <c r="A115" s="112" t="s">
        <v>174</v>
      </c>
      <c r="B115" s="112"/>
      <c r="C115" s="112" t="s">
        <v>175</v>
      </c>
      <c r="D115" s="112" t="s">
        <v>355</v>
      </c>
      <c r="E115" s="112" t="s">
        <v>205</v>
      </c>
      <c r="F115" s="112" t="s">
        <v>375</v>
      </c>
      <c r="G115" s="112" t="s">
        <v>376</v>
      </c>
      <c r="H115" s="112" t="s">
        <v>377</v>
      </c>
      <c r="I115" s="112" t="s">
        <v>209</v>
      </c>
      <c r="J115" s="112"/>
    </row>
    <row r="116" spans="1:10">
      <c r="A116" t="s">
        <v>378</v>
      </c>
      <c r="B116"/>
      <c r="C116"/>
      <c r="D116"/>
      <c r="E116"/>
      <c r="F116"/>
      <c r="G116"/>
      <c r="H116"/>
      <c r="I116"/>
    </row>
    <row r="117" spans="1:10">
      <c r="A117" t="s">
        <v>318</v>
      </c>
      <c r="B117"/>
      <c r="C117" t="s">
        <v>319</v>
      </c>
      <c r="D117"/>
      <c r="E117"/>
      <c r="F117" t="s">
        <v>297</v>
      </c>
      <c r="G117" t="s">
        <v>298</v>
      </c>
      <c r="H117" t="s">
        <v>256</v>
      </c>
      <c r="I117" t="s">
        <v>147</v>
      </c>
    </row>
    <row r="118" spans="1:10">
      <c r="A118" t="s">
        <v>320</v>
      </c>
      <c r="B118"/>
      <c r="C118" t="s">
        <v>319</v>
      </c>
      <c r="D118"/>
      <c r="E118"/>
      <c r="F118" t="s">
        <v>297</v>
      </c>
      <c r="G118" t="s">
        <v>298</v>
      </c>
      <c r="H118" t="s">
        <v>256</v>
      </c>
      <c r="I118" t="s">
        <v>147</v>
      </c>
    </row>
    <row r="119" spans="1:10">
      <c r="A119" t="s">
        <v>321</v>
      </c>
      <c r="B119"/>
      <c r="C119" t="s">
        <v>319</v>
      </c>
      <c r="D119"/>
      <c r="E119"/>
      <c r="F119" t="s">
        <v>291</v>
      </c>
      <c r="G119" t="s">
        <v>292</v>
      </c>
      <c r="H119" t="s">
        <v>293</v>
      </c>
      <c r="I119" t="s">
        <v>294</v>
      </c>
    </row>
    <row r="120" spans="1:10">
      <c r="A120" t="s">
        <v>322</v>
      </c>
      <c r="B120"/>
      <c r="C120" t="s">
        <v>319</v>
      </c>
      <c r="D120"/>
      <c r="E120"/>
      <c r="F120" t="s">
        <v>291</v>
      </c>
      <c r="G120" t="s">
        <v>292</v>
      </c>
      <c r="H120" t="s">
        <v>293</v>
      </c>
      <c r="I120" t="s">
        <v>294</v>
      </c>
    </row>
    <row r="121" spans="1:10">
      <c r="A121" t="s">
        <v>323</v>
      </c>
      <c r="B121"/>
      <c r="C121" t="s">
        <v>319</v>
      </c>
      <c r="D121"/>
      <c r="E121"/>
      <c r="F121" t="s">
        <v>291</v>
      </c>
      <c r="G121" t="s">
        <v>292</v>
      </c>
      <c r="H121" t="s">
        <v>293</v>
      </c>
      <c r="I121" t="s">
        <v>294</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0000"/>
  </sheetPr>
  <dimension ref="B1:P225"/>
  <sheetViews>
    <sheetView topLeftCell="A8" workbookViewId="0">
      <selection activeCell="K16" sqref="K16"/>
    </sheetView>
  </sheetViews>
  <sheetFormatPr baseColWidth="10" defaultColWidth="8.83203125" defaultRowHeight="15"/>
  <cols>
    <col min="1" max="1" width="3.6640625" customWidth="1"/>
    <col min="2" max="2" width="19.1640625" customWidth="1"/>
    <col min="3" max="3" width="16.33203125" bestFit="1" customWidth="1"/>
    <col min="4" max="4" width="16.33203125" customWidth="1"/>
    <col min="5" max="5" width="12.5" customWidth="1"/>
    <col min="7" max="7" width="13.33203125" customWidth="1"/>
    <col min="8" max="8" width="11.33203125" customWidth="1"/>
    <col min="11" max="11" width="14.1640625" customWidth="1"/>
    <col min="12" max="12" width="12.33203125" customWidth="1"/>
    <col min="13" max="13" width="12" customWidth="1"/>
  </cols>
  <sheetData>
    <row r="1" spans="2:16" ht="16" thickBot="1"/>
    <row r="2" spans="2:16" ht="16" thickBot="1">
      <c r="B2" s="64" t="s">
        <v>73</v>
      </c>
      <c r="C2" s="66" t="s">
        <v>74</v>
      </c>
      <c r="D2" s="66" t="s">
        <v>75</v>
      </c>
      <c r="E2" s="65" t="s">
        <v>76</v>
      </c>
      <c r="G2" s="242" t="s">
        <v>94</v>
      </c>
      <c r="H2" s="243"/>
      <c r="I2" s="243"/>
      <c r="J2" s="243"/>
      <c r="K2" s="243"/>
      <c r="L2" s="243"/>
      <c r="M2" s="243"/>
      <c r="N2" s="243"/>
      <c r="O2" s="243"/>
      <c r="P2" s="244"/>
    </row>
    <row r="3" spans="2:16" ht="16">
      <c r="B3" s="70" t="s">
        <v>71</v>
      </c>
      <c r="C3" s="70" t="s">
        <v>84</v>
      </c>
      <c r="D3" s="70" t="s">
        <v>69</v>
      </c>
      <c r="E3" s="70" t="s">
        <v>77</v>
      </c>
      <c r="G3" s="71" t="s">
        <v>93</v>
      </c>
      <c r="H3" s="72" t="s">
        <v>83</v>
      </c>
      <c r="I3" s="72" t="s">
        <v>82</v>
      </c>
      <c r="J3" s="72" t="s">
        <v>81</v>
      </c>
      <c r="K3" s="72" t="s">
        <v>80</v>
      </c>
      <c r="L3" s="72" t="s">
        <v>79</v>
      </c>
      <c r="M3" s="72" t="s">
        <v>72</v>
      </c>
      <c r="N3" s="72" t="s">
        <v>78</v>
      </c>
      <c r="O3" s="72" t="s">
        <v>77</v>
      </c>
      <c r="P3" s="72" t="s">
        <v>60</v>
      </c>
    </row>
    <row r="4" spans="2:16">
      <c r="B4" s="67" t="s">
        <v>59</v>
      </c>
      <c r="C4" s="67" t="s">
        <v>69</v>
      </c>
      <c r="D4" s="67" t="s">
        <v>89</v>
      </c>
      <c r="E4" s="67" t="s">
        <v>78</v>
      </c>
      <c r="G4" s="68" t="s">
        <v>77</v>
      </c>
      <c r="H4" s="68">
        <v>9</v>
      </c>
      <c r="I4" s="68">
        <v>9</v>
      </c>
      <c r="J4" s="68">
        <v>9</v>
      </c>
      <c r="K4" s="68">
        <v>9</v>
      </c>
      <c r="L4" s="68">
        <v>9</v>
      </c>
      <c r="M4" s="68">
        <v>9</v>
      </c>
      <c r="N4" s="68">
        <v>9</v>
      </c>
      <c r="O4" s="68">
        <v>9</v>
      </c>
      <c r="P4" s="69">
        <v>0</v>
      </c>
    </row>
    <row r="5" spans="2:16">
      <c r="B5" s="67" t="s">
        <v>60</v>
      </c>
      <c r="C5" s="67" t="s">
        <v>85</v>
      </c>
      <c r="D5" s="67" t="s">
        <v>70</v>
      </c>
      <c r="E5" s="67" t="s">
        <v>72</v>
      </c>
      <c r="G5" s="68" t="s">
        <v>78</v>
      </c>
      <c r="H5" s="68">
        <v>9</v>
      </c>
      <c r="I5" s="69">
        <v>0</v>
      </c>
      <c r="J5" s="68">
        <v>9</v>
      </c>
      <c r="K5" s="69">
        <v>0</v>
      </c>
      <c r="L5" s="68">
        <v>9</v>
      </c>
      <c r="M5" s="69">
        <v>0</v>
      </c>
      <c r="N5" s="68">
        <v>9</v>
      </c>
      <c r="O5" s="69">
        <v>0</v>
      </c>
      <c r="P5" s="69">
        <v>0</v>
      </c>
    </row>
    <row r="6" spans="2:16">
      <c r="B6" s="67"/>
      <c r="C6" s="67" t="s">
        <v>86</v>
      </c>
      <c r="D6" s="67" t="s">
        <v>90</v>
      </c>
      <c r="E6" s="67" t="s">
        <v>79</v>
      </c>
      <c r="G6" s="68" t="s">
        <v>72</v>
      </c>
      <c r="H6" s="68">
        <v>9</v>
      </c>
      <c r="I6" s="68">
        <v>9</v>
      </c>
      <c r="J6" s="69">
        <v>0</v>
      </c>
      <c r="K6" s="69">
        <v>0</v>
      </c>
      <c r="L6" s="68">
        <v>9</v>
      </c>
      <c r="M6" s="68">
        <v>9</v>
      </c>
      <c r="N6" s="69">
        <v>0</v>
      </c>
      <c r="O6" s="69">
        <v>0</v>
      </c>
      <c r="P6" s="69">
        <v>0</v>
      </c>
    </row>
    <row r="7" spans="2:16">
      <c r="B7" s="67"/>
      <c r="C7" s="67" t="s">
        <v>87</v>
      </c>
      <c r="D7" s="67" t="s">
        <v>91</v>
      </c>
      <c r="E7" s="67" t="s">
        <v>80</v>
      </c>
      <c r="G7" s="68" t="s">
        <v>79</v>
      </c>
      <c r="H7" s="68">
        <v>9</v>
      </c>
      <c r="I7" s="69">
        <v>0</v>
      </c>
      <c r="J7" s="69">
        <v>0</v>
      </c>
      <c r="K7" s="69">
        <v>0</v>
      </c>
      <c r="L7" s="68">
        <v>9</v>
      </c>
      <c r="M7" s="69">
        <v>0</v>
      </c>
      <c r="N7" s="69">
        <v>0</v>
      </c>
      <c r="O7" s="69">
        <v>0</v>
      </c>
      <c r="P7" s="69">
        <v>0</v>
      </c>
    </row>
    <row r="8" spans="2:16">
      <c r="B8" s="67"/>
      <c r="C8" s="67" t="s">
        <v>88</v>
      </c>
      <c r="D8" s="67" t="s">
        <v>84</v>
      </c>
      <c r="E8" s="67" t="s">
        <v>81</v>
      </c>
      <c r="G8" s="68" t="s">
        <v>80</v>
      </c>
      <c r="H8" s="68">
        <v>9</v>
      </c>
      <c r="I8" s="68">
        <v>9</v>
      </c>
      <c r="J8" s="68">
        <v>9</v>
      </c>
      <c r="K8" s="68">
        <v>9</v>
      </c>
      <c r="L8" s="69">
        <v>0</v>
      </c>
      <c r="M8" s="69">
        <v>0</v>
      </c>
      <c r="N8" s="69">
        <v>0</v>
      </c>
      <c r="O8" s="69">
        <v>0</v>
      </c>
      <c r="P8" s="69">
        <v>0</v>
      </c>
    </row>
    <row r="9" spans="2:16">
      <c r="B9" s="67"/>
      <c r="C9" s="67" t="s">
        <v>60</v>
      </c>
      <c r="D9" s="67" t="s">
        <v>92</v>
      </c>
      <c r="E9" s="67" t="s">
        <v>82</v>
      </c>
      <c r="G9" s="68" t="s">
        <v>81</v>
      </c>
      <c r="H9" s="68">
        <v>9</v>
      </c>
      <c r="I9" s="69">
        <v>0</v>
      </c>
      <c r="J9" s="68">
        <v>9</v>
      </c>
      <c r="K9" s="69">
        <v>0</v>
      </c>
      <c r="L9" s="69">
        <v>0</v>
      </c>
      <c r="M9" s="69">
        <v>0</v>
      </c>
      <c r="N9" s="69">
        <v>0</v>
      </c>
      <c r="O9" s="69">
        <v>0</v>
      </c>
      <c r="P9" s="69">
        <v>0</v>
      </c>
    </row>
    <row r="10" spans="2:16">
      <c r="B10" s="67"/>
      <c r="C10" s="67"/>
      <c r="D10" s="67" t="s">
        <v>60</v>
      </c>
      <c r="E10" s="67" t="s">
        <v>83</v>
      </c>
      <c r="G10" s="68" t="s">
        <v>82</v>
      </c>
      <c r="H10" s="68">
        <v>9</v>
      </c>
      <c r="I10" s="68">
        <v>9</v>
      </c>
      <c r="J10" s="69">
        <v>0</v>
      </c>
      <c r="K10" s="69">
        <v>0</v>
      </c>
      <c r="L10" s="69">
        <v>0</v>
      </c>
      <c r="M10" s="69">
        <v>0</v>
      </c>
      <c r="N10" s="69">
        <v>0</v>
      </c>
      <c r="O10" s="69">
        <v>0</v>
      </c>
      <c r="P10" s="69">
        <v>0</v>
      </c>
    </row>
    <row r="11" spans="2:16">
      <c r="B11" s="67"/>
      <c r="C11" s="67"/>
      <c r="D11" s="67"/>
      <c r="E11" s="67" t="s">
        <v>60</v>
      </c>
      <c r="G11" s="68" t="s">
        <v>83</v>
      </c>
      <c r="H11" s="68">
        <v>9</v>
      </c>
      <c r="I11" s="69">
        <v>0</v>
      </c>
      <c r="J11" s="69">
        <v>0</v>
      </c>
      <c r="K11" s="69">
        <v>0</v>
      </c>
      <c r="L11" s="69">
        <v>0</v>
      </c>
      <c r="M11" s="69">
        <v>0</v>
      </c>
      <c r="N11" s="69">
        <v>0</v>
      </c>
      <c r="O11" s="69">
        <v>0</v>
      </c>
      <c r="P11" s="69">
        <v>0</v>
      </c>
    </row>
    <row r="12" spans="2:16">
      <c r="G12" s="68" t="s">
        <v>60</v>
      </c>
      <c r="H12" s="69">
        <v>0</v>
      </c>
      <c r="I12" s="69">
        <v>0</v>
      </c>
      <c r="J12" s="69">
        <v>0</v>
      </c>
      <c r="K12" s="69">
        <v>0</v>
      </c>
      <c r="L12" s="69">
        <v>0</v>
      </c>
      <c r="M12" s="69">
        <v>0</v>
      </c>
      <c r="N12" s="69">
        <v>0</v>
      </c>
      <c r="O12" s="69">
        <v>0</v>
      </c>
      <c r="P12" s="69">
        <v>0</v>
      </c>
    </row>
    <row r="13" spans="2:16" ht="16" thickBot="1"/>
    <row r="14" spans="2:16" ht="16" thickBot="1">
      <c r="B14" s="77" t="s">
        <v>97</v>
      </c>
      <c r="C14" s="78"/>
      <c r="D14" s="78"/>
      <c r="E14" s="78"/>
      <c r="F14" s="78"/>
      <c r="G14" s="78"/>
      <c r="H14" s="78"/>
      <c r="I14" s="79"/>
      <c r="K14" s="127" t="s">
        <v>387</v>
      </c>
      <c r="L14" s="127" t="s">
        <v>388</v>
      </c>
      <c r="M14" s="127" t="s">
        <v>383</v>
      </c>
    </row>
    <row r="15" spans="2:16" ht="33" thickBot="1">
      <c r="B15" s="73" t="s">
        <v>95</v>
      </c>
      <c r="C15" s="80" t="s">
        <v>84</v>
      </c>
      <c r="D15" s="80" t="s">
        <v>69</v>
      </c>
      <c r="E15" s="80" t="s">
        <v>85</v>
      </c>
      <c r="F15" s="80" t="s">
        <v>86</v>
      </c>
      <c r="G15" s="80" t="s">
        <v>87</v>
      </c>
      <c r="H15" s="80" t="s">
        <v>88</v>
      </c>
      <c r="I15" s="80" t="s">
        <v>60</v>
      </c>
      <c r="K15" s="125">
        <v>0</v>
      </c>
      <c r="L15" s="125">
        <v>15</v>
      </c>
      <c r="M15" s="125" t="s">
        <v>384</v>
      </c>
    </row>
    <row r="16" spans="2:16" ht="27" thickBot="1">
      <c r="B16" s="74" t="s">
        <v>96</v>
      </c>
      <c r="C16" s="75"/>
      <c r="D16" s="75"/>
      <c r="E16" s="75"/>
      <c r="F16" s="75"/>
      <c r="G16" s="75"/>
      <c r="H16" s="75"/>
      <c r="I16" s="75"/>
      <c r="K16" s="195" t="s">
        <v>389</v>
      </c>
      <c r="L16" s="125">
        <f>74+L15</f>
        <v>89</v>
      </c>
      <c r="M16" s="126" t="s">
        <v>386</v>
      </c>
    </row>
    <row r="17" spans="2:12" ht="17" thickBot="1">
      <c r="B17" s="75" t="s">
        <v>84</v>
      </c>
      <c r="C17" s="76">
        <v>5</v>
      </c>
      <c r="D17" s="76">
        <v>4</v>
      </c>
      <c r="E17" s="76">
        <v>0</v>
      </c>
      <c r="F17" s="76">
        <v>0</v>
      </c>
      <c r="G17" s="76">
        <v>0</v>
      </c>
      <c r="H17" s="76">
        <v>1</v>
      </c>
      <c r="I17" s="76">
        <v>0</v>
      </c>
      <c r="K17" s="195" t="s">
        <v>390</v>
      </c>
      <c r="L17" s="125">
        <f>L16+55</f>
        <v>144</v>
      </c>
    </row>
    <row r="18" spans="2:12" ht="17" thickBot="1">
      <c r="B18" s="75" t="s">
        <v>69</v>
      </c>
      <c r="C18" s="76">
        <v>4</v>
      </c>
      <c r="D18" s="76">
        <v>5</v>
      </c>
      <c r="E18" s="76">
        <v>3</v>
      </c>
      <c r="F18" s="76">
        <v>1</v>
      </c>
      <c r="G18" s="76">
        <v>1</v>
      </c>
      <c r="H18" s="76">
        <v>1</v>
      </c>
      <c r="I18" s="76">
        <v>0</v>
      </c>
    </row>
    <row r="19" spans="2:12" ht="17" thickBot="1">
      <c r="B19" s="75" t="s">
        <v>85</v>
      </c>
      <c r="C19" s="76">
        <v>0</v>
      </c>
      <c r="D19" s="76">
        <v>3</v>
      </c>
      <c r="E19" s="76">
        <v>5</v>
      </c>
      <c r="F19" s="76">
        <v>1</v>
      </c>
      <c r="G19" s="76">
        <v>1</v>
      </c>
      <c r="H19" s="76">
        <v>1</v>
      </c>
      <c r="I19" s="76">
        <v>0</v>
      </c>
    </row>
    <row r="20" spans="2:12" ht="17" thickBot="1">
      <c r="B20" s="75" t="s">
        <v>86</v>
      </c>
      <c r="C20" s="76">
        <v>1</v>
      </c>
      <c r="D20" s="76">
        <v>1</v>
      </c>
      <c r="E20" s="76">
        <v>1</v>
      </c>
      <c r="F20" s="76">
        <v>1</v>
      </c>
      <c r="G20" s="76">
        <v>1</v>
      </c>
      <c r="H20" s="76">
        <v>5</v>
      </c>
      <c r="I20" s="76">
        <v>0</v>
      </c>
    </row>
    <row r="21" spans="2:12" ht="17" thickBot="1">
      <c r="B21" s="75" t="s">
        <v>87</v>
      </c>
      <c r="C21" s="76">
        <v>0</v>
      </c>
      <c r="D21" s="76">
        <v>1</v>
      </c>
      <c r="E21" s="76">
        <v>1</v>
      </c>
      <c r="F21" s="76">
        <v>1</v>
      </c>
      <c r="G21" s="76">
        <v>5</v>
      </c>
      <c r="H21" s="76">
        <v>1</v>
      </c>
      <c r="I21" s="76">
        <v>0</v>
      </c>
    </row>
    <row r="22" spans="2:12" ht="17" thickBot="1">
      <c r="B22" s="75" t="s">
        <v>88</v>
      </c>
      <c r="C22" s="76">
        <v>1</v>
      </c>
      <c r="D22" s="76">
        <v>1</v>
      </c>
      <c r="E22" s="76">
        <v>1</v>
      </c>
      <c r="F22" s="76">
        <v>1</v>
      </c>
      <c r="G22" s="76">
        <v>1</v>
      </c>
      <c r="H22" s="76">
        <v>5</v>
      </c>
      <c r="I22" s="76">
        <v>0</v>
      </c>
    </row>
    <row r="23" spans="2:12" ht="17" thickBot="1">
      <c r="B23" s="75" t="s">
        <v>60</v>
      </c>
      <c r="C23" s="76">
        <v>0</v>
      </c>
      <c r="D23" s="76">
        <v>0</v>
      </c>
      <c r="E23" s="76">
        <v>0</v>
      </c>
      <c r="F23" s="76">
        <v>0</v>
      </c>
      <c r="G23" s="76">
        <v>0</v>
      </c>
      <c r="H23" s="76">
        <v>0</v>
      </c>
      <c r="I23" s="76">
        <v>0</v>
      </c>
    </row>
    <row r="24" spans="2:12" ht="16" thickBot="1"/>
    <row r="25" spans="2:12" ht="16" thickBot="1">
      <c r="B25" s="239" t="s">
        <v>100</v>
      </c>
      <c r="C25" s="240"/>
      <c r="D25" s="240"/>
      <c r="E25" s="240"/>
      <c r="F25" s="240"/>
      <c r="G25" s="240"/>
      <c r="H25" s="240"/>
      <c r="I25" s="240"/>
      <c r="J25" s="241"/>
    </row>
    <row r="26" spans="2:12" ht="47.25" customHeight="1">
      <c r="B26" s="73" t="s">
        <v>95</v>
      </c>
      <c r="C26" s="73" t="s">
        <v>69</v>
      </c>
      <c r="D26" s="73" t="s">
        <v>89</v>
      </c>
      <c r="E26" s="73" t="s">
        <v>70</v>
      </c>
      <c r="F26" s="73" t="s">
        <v>90</v>
      </c>
      <c r="G26" s="73" t="s">
        <v>91</v>
      </c>
      <c r="H26" s="73" t="s">
        <v>84</v>
      </c>
      <c r="I26" s="73" t="s">
        <v>92</v>
      </c>
      <c r="J26" s="80" t="s">
        <v>60</v>
      </c>
    </row>
    <row r="27" spans="2:12" ht="15.75" customHeight="1" thickBot="1">
      <c r="B27" s="81" t="s">
        <v>98</v>
      </c>
      <c r="C27" s="74"/>
      <c r="D27" s="74"/>
      <c r="E27" s="74"/>
      <c r="F27" s="74"/>
      <c r="G27" s="74"/>
      <c r="H27" s="74"/>
      <c r="I27" s="74"/>
      <c r="J27" s="75"/>
    </row>
    <row r="28" spans="2:12" ht="18" thickBot="1">
      <c r="B28" s="87" t="s">
        <v>69</v>
      </c>
      <c r="C28" s="82">
        <v>5</v>
      </c>
      <c r="D28" s="83">
        <v>0</v>
      </c>
      <c r="E28" s="83">
        <v>4</v>
      </c>
      <c r="F28" s="83">
        <v>3</v>
      </c>
      <c r="G28" s="83">
        <v>1</v>
      </c>
      <c r="H28" s="83">
        <v>3</v>
      </c>
      <c r="I28" s="83">
        <v>1</v>
      </c>
      <c r="J28" s="82">
        <v>0</v>
      </c>
    </row>
    <row r="29" spans="2:12" ht="18" thickBot="1">
      <c r="B29" s="87" t="s">
        <v>89</v>
      </c>
      <c r="C29" s="83">
        <v>0</v>
      </c>
      <c r="D29" s="82">
        <v>5</v>
      </c>
      <c r="E29" s="83">
        <v>1</v>
      </c>
      <c r="F29" s="83">
        <v>4</v>
      </c>
      <c r="G29" s="83">
        <v>4</v>
      </c>
      <c r="H29" s="83">
        <v>0</v>
      </c>
      <c r="I29" s="83">
        <v>1</v>
      </c>
      <c r="J29" s="82">
        <v>0</v>
      </c>
    </row>
    <row r="30" spans="2:12" ht="18" thickBot="1">
      <c r="B30" s="87" t="s">
        <v>70</v>
      </c>
      <c r="C30" s="83">
        <v>4</v>
      </c>
      <c r="D30" s="83">
        <v>1</v>
      </c>
      <c r="E30" s="82">
        <v>5</v>
      </c>
      <c r="F30" s="83">
        <v>4</v>
      </c>
      <c r="G30" s="83">
        <v>3</v>
      </c>
      <c r="H30" s="83">
        <v>0</v>
      </c>
      <c r="I30" s="83">
        <v>1</v>
      </c>
      <c r="J30" s="82">
        <v>0</v>
      </c>
    </row>
    <row r="31" spans="2:12" ht="18" thickBot="1">
      <c r="B31" s="87" t="s">
        <v>90</v>
      </c>
      <c r="C31" s="83">
        <v>3</v>
      </c>
      <c r="D31" s="83">
        <v>1</v>
      </c>
      <c r="E31" s="83">
        <v>4</v>
      </c>
      <c r="F31" s="83">
        <v>5</v>
      </c>
      <c r="G31" s="83">
        <v>2</v>
      </c>
      <c r="H31" s="83">
        <v>0</v>
      </c>
      <c r="I31" s="83">
        <v>1</v>
      </c>
      <c r="J31" s="82">
        <v>0</v>
      </c>
    </row>
    <row r="32" spans="2:12" ht="18" thickBot="1">
      <c r="B32" s="87" t="s">
        <v>91</v>
      </c>
      <c r="C32" s="83">
        <v>1</v>
      </c>
      <c r="D32" s="83">
        <v>4</v>
      </c>
      <c r="E32" s="83">
        <v>4</v>
      </c>
      <c r="F32" s="83">
        <v>2</v>
      </c>
      <c r="G32" s="82">
        <v>5</v>
      </c>
      <c r="H32" s="83">
        <v>0</v>
      </c>
      <c r="I32" s="83">
        <v>1</v>
      </c>
      <c r="J32" s="82">
        <v>0</v>
      </c>
    </row>
    <row r="33" spans="2:10" ht="18" thickBot="1">
      <c r="B33" s="87" t="s">
        <v>84</v>
      </c>
      <c r="C33" s="83">
        <v>4</v>
      </c>
      <c r="D33" s="83">
        <v>0</v>
      </c>
      <c r="E33" s="83">
        <v>0</v>
      </c>
      <c r="F33" s="83">
        <v>0</v>
      </c>
      <c r="G33" s="83">
        <v>0</v>
      </c>
      <c r="H33" s="82">
        <v>5</v>
      </c>
      <c r="I33" s="83">
        <v>1</v>
      </c>
      <c r="J33" s="82">
        <v>0</v>
      </c>
    </row>
    <row r="34" spans="2:10" ht="35" thickBot="1">
      <c r="B34" s="88" t="s">
        <v>92</v>
      </c>
      <c r="C34" s="84">
        <v>1</v>
      </c>
      <c r="D34" s="84">
        <v>1</v>
      </c>
      <c r="E34" s="84">
        <v>1</v>
      </c>
      <c r="F34" s="84">
        <v>1</v>
      </c>
      <c r="G34" s="84">
        <v>1</v>
      </c>
      <c r="H34" s="84">
        <v>1</v>
      </c>
      <c r="I34" s="84">
        <v>5</v>
      </c>
      <c r="J34" s="85">
        <v>0</v>
      </c>
    </row>
    <row r="35" spans="2:10" ht="15" customHeight="1" thickBot="1">
      <c r="B35" s="89" t="s">
        <v>99</v>
      </c>
      <c r="C35" s="86">
        <v>0</v>
      </c>
      <c r="D35" s="86">
        <v>0</v>
      </c>
      <c r="E35" s="86">
        <v>0</v>
      </c>
      <c r="F35" s="86">
        <v>0</v>
      </c>
      <c r="G35" s="86">
        <v>0</v>
      </c>
      <c r="H35" s="86">
        <v>0</v>
      </c>
      <c r="I35" s="86">
        <v>0</v>
      </c>
      <c r="J35" s="85">
        <v>0</v>
      </c>
    </row>
    <row r="37" spans="2:10" ht="20" thickBot="1">
      <c r="B37" s="98" t="s">
        <v>101</v>
      </c>
      <c r="C37" s="99">
        <f>'Edit This Sheet'!A17/62</f>
        <v>0.35483870967741937</v>
      </c>
      <c r="D37" s="100">
        <f>SUM(D38,D44,D50,D62)</f>
        <v>0</v>
      </c>
    </row>
    <row r="38" spans="2:10" ht="16">
      <c r="B38" s="92" t="s">
        <v>102</v>
      </c>
      <c r="C38" s="63">
        <f>IF(C37&lt;0.2,1,0)</f>
        <v>0</v>
      </c>
      <c r="D38">
        <f>C38*INDEX(C40:E42,MATCH('Edit This Sheet'!$B$22,Inputs!C39:E39,0),MATCH('Edit This Sheet'!$D$22,Inputs!B40:B42,0))</f>
        <v>0</v>
      </c>
    </row>
    <row r="39" spans="2:10">
      <c r="B39" s="95" t="s">
        <v>107</v>
      </c>
      <c r="C39" s="96" t="s">
        <v>71</v>
      </c>
      <c r="D39" s="96" t="s">
        <v>59</v>
      </c>
      <c r="E39" s="96" t="s">
        <v>60</v>
      </c>
    </row>
    <row r="40" spans="2:10">
      <c r="B40" s="95" t="s">
        <v>71</v>
      </c>
      <c r="C40" s="97">
        <v>3</v>
      </c>
      <c r="D40" s="97">
        <v>0</v>
      </c>
      <c r="E40" s="97">
        <v>0</v>
      </c>
    </row>
    <row r="41" spans="2:10">
      <c r="B41" s="95" t="s">
        <v>59</v>
      </c>
      <c r="C41" s="97">
        <v>0</v>
      </c>
      <c r="D41" s="97">
        <v>0</v>
      </c>
      <c r="E41" s="97">
        <v>0</v>
      </c>
    </row>
    <row r="42" spans="2:10">
      <c r="B42" s="95" t="s">
        <v>60</v>
      </c>
      <c r="C42" s="97">
        <v>0</v>
      </c>
      <c r="D42" s="97">
        <v>0</v>
      </c>
      <c r="E42" s="97">
        <v>0</v>
      </c>
    </row>
    <row r="44" spans="2:10">
      <c r="B44" s="93" t="s">
        <v>103</v>
      </c>
      <c r="C44">
        <f>IF(AND(C37&gt;=0.2,C37&lt;0.5),1,0)</f>
        <v>1</v>
      </c>
      <c r="D44">
        <f>C44*INDEX(C46:E48,MATCH('Edit This Sheet'!$B$22,Inputs!C45:E45,0),MATCH('Edit This Sheet'!$D$22,Inputs!B46:B48,0))</f>
        <v>0</v>
      </c>
    </row>
    <row r="45" spans="2:10">
      <c r="B45" s="95" t="s">
        <v>107</v>
      </c>
      <c r="C45" s="96" t="s">
        <v>71</v>
      </c>
      <c r="D45" s="96" t="s">
        <v>59</v>
      </c>
      <c r="E45" s="96" t="s">
        <v>60</v>
      </c>
    </row>
    <row r="46" spans="2:10">
      <c r="B46" s="95" t="s">
        <v>71</v>
      </c>
      <c r="C46" s="97">
        <v>3</v>
      </c>
      <c r="D46" s="97">
        <v>0</v>
      </c>
      <c r="E46" s="97">
        <v>0</v>
      </c>
    </row>
    <row r="47" spans="2:10">
      <c r="B47" s="95" t="s">
        <v>59</v>
      </c>
      <c r="C47" s="97">
        <v>1</v>
      </c>
      <c r="D47" s="97">
        <v>0</v>
      </c>
      <c r="E47" s="97">
        <v>0</v>
      </c>
    </row>
    <row r="48" spans="2:10">
      <c r="B48" s="94" t="s">
        <v>60</v>
      </c>
      <c r="C48" s="97">
        <v>0</v>
      </c>
      <c r="D48" s="97">
        <v>0</v>
      </c>
      <c r="E48" s="97">
        <v>0</v>
      </c>
    </row>
    <row r="49" spans="2:5">
      <c r="C49" s="63"/>
      <c r="D49" s="63"/>
    </row>
    <row r="50" spans="2:5">
      <c r="B50" s="93" t="s">
        <v>104</v>
      </c>
      <c r="C50" s="63">
        <f>IF(AND(C37&gt;=0.5,C37&lt;0.8),1,0)</f>
        <v>0</v>
      </c>
      <c r="D50">
        <f>C50*INDEX(C52:E54,MATCH('Edit This Sheet'!$B$22,Inputs!C51:E51,0),MATCH('Edit This Sheet'!$D$22,Inputs!B52:B54,0))</f>
        <v>0</v>
      </c>
    </row>
    <row r="51" spans="2:5">
      <c r="B51" s="95" t="s">
        <v>107</v>
      </c>
      <c r="C51" s="96" t="s">
        <v>71</v>
      </c>
      <c r="D51" s="96" t="s">
        <v>59</v>
      </c>
      <c r="E51" s="96" t="s">
        <v>60</v>
      </c>
    </row>
    <row r="52" spans="2:5">
      <c r="B52" s="95" t="s">
        <v>71</v>
      </c>
      <c r="C52" s="97">
        <v>4</v>
      </c>
      <c r="D52" s="97">
        <v>1</v>
      </c>
      <c r="E52" s="97">
        <v>0</v>
      </c>
    </row>
    <row r="53" spans="2:5">
      <c r="B53" s="95" t="s">
        <v>59</v>
      </c>
      <c r="C53" s="97">
        <v>2</v>
      </c>
      <c r="D53" s="97">
        <v>4</v>
      </c>
      <c r="E53" s="97">
        <v>0</v>
      </c>
    </row>
    <row r="54" spans="2:5">
      <c r="B54" s="95" t="s">
        <v>60</v>
      </c>
      <c r="C54" s="97">
        <v>0</v>
      </c>
      <c r="D54" s="97">
        <v>0</v>
      </c>
      <c r="E54" s="97">
        <v>0</v>
      </c>
    </row>
    <row r="55" spans="2:5">
      <c r="C55" s="63"/>
      <c r="D55" s="63"/>
      <c r="E55" s="101"/>
    </row>
    <row r="56" spans="2:5">
      <c r="B56" s="93" t="s">
        <v>105</v>
      </c>
      <c r="C56" s="63">
        <f>IF(AND(C37&gt;=0.5,C37&lt;0.8),1,0)</f>
        <v>0</v>
      </c>
      <c r="D56">
        <f>C56*INDEX(C58:E60,MATCH('Edit This Sheet'!$B$22,Inputs!C57:E57,0),MATCH('Edit This Sheet'!$D$22,Inputs!B58:B60,0))</f>
        <v>0</v>
      </c>
    </row>
    <row r="57" spans="2:5">
      <c r="B57" s="95" t="s">
        <v>107</v>
      </c>
      <c r="C57" s="96" t="s">
        <v>71</v>
      </c>
      <c r="D57" s="96" t="s">
        <v>59</v>
      </c>
      <c r="E57" s="96" t="s">
        <v>60</v>
      </c>
    </row>
    <row r="58" spans="2:5">
      <c r="B58" s="95" t="s">
        <v>71</v>
      </c>
      <c r="C58" s="97">
        <v>5</v>
      </c>
      <c r="D58" s="97">
        <v>2</v>
      </c>
      <c r="E58" s="97">
        <v>0</v>
      </c>
    </row>
    <row r="59" spans="2:5">
      <c r="B59" s="95" t="s">
        <v>59</v>
      </c>
      <c r="C59" s="97">
        <v>4</v>
      </c>
      <c r="D59" s="97">
        <v>5</v>
      </c>
      <c r="E59" s="97">
        <v>0</v>
      </c>
    </row>
    <row r="60" spans="2:5">
      <c r="B60" s="95" t="s">
        <v>60</v>
      </c>
      <c r="C60" s="97">
        <v>0</v>
      </c>
      <c r="D60" s="97">
        <v>0</v>
      </c>
      <c r="E60" s="97">
        <v>0</v>
      </c>
    </row>
    <row r="61" spans="2:5">
      <c r="C61" s="63"/>
      <c r="D61" s="63"/>
      <c r="E61" s="101"/>
    </row>
    <row r="62" spans="2:5">
      <c r="B62" s="93" t="s">
        <v>106</v>
      </c>
      <c r="C62" s="63">
        <f>IF(C37&gt;0.9,1,0)</f>
        <v>0</v>
      </c>
      <c r="D62">
        <f>C62*INDEX(C64:E66,MATCH('Edit This Sheet'!$B$22,Inputs!C63:E63,0),MATCH('Edit This Sheet'!$D$22,Inputs!B64:B66,0))</f>
        <v>0</v>
      </c>
    </row>
    <row r="63" spans="2:5">
      <c r="B63" s="95" t="s">
        <v>107</v>
      </c>
      <c r="C63" s="96" t="s">
        <v>71</v>
      </c>
      <c r="D63" s="96" t="s">
        <v>59</v>
      </c>
      <c r="E63" s="96" t="s">
        <v>60</v>
      </c>
    </row>
    <row r="64" spans="2:5">
      <c r="B64" s="95" t="s">
        <v>71</v>
      </c>
      <c r="C64" s="97">
        <v>5</v>
      </c>
      <c r="D64" s="97">
        <v>3</v>
      </c>
      <c r="E64" s="97">
        <v>0</v>
      </c>
    </row>
    <row r="65" spans="2:5">
      <c r="B65" s="95" t="s">
        <v>59</v>
      </c>
      <c r="C65" s="97">
        <v>4</v>
      </c>
      <c r="D65" s="97">
        <v>5</v>
      </c>
      <c r="E65" s="97">
        <v>0</v>
      </c>
    </row>
    <row r="66" spans="2:5">
      <c r="B66" s="95" t="s">
        <v>60</v>
      </c>
      <c r="C66" s="97">
        <v>0</v>
      </c>
      <c r="D66" s="97">
        <v>0</v>
      </c>
      <c r="E66" s="97">
        <v>0</v>
      </c>
    </row>
    <row r="68" spans="2:5" ht="20" thickBot="1">
      <c r="B68" s="98" t="s">
        <v>116</v>
      </c>
      <c r="C68" s="99">
        <f>'Edit This Sheet'!A48/62</f>
        <v>0</v>
      </c>
      <c r="D68" s="100">
        <f>SUM(D69,D75,D81,D93)</f>
        <v>0</v>
      </c>
    </row>
    <row r="69" spans="2:5" ht="16">
      <c r="B69" s="92" t="s">
        <v>102</v>
      </c>
      <c r="C69" s="90">
        <f>IF(C68&lt;0.2,1,0)</f>
        <v>1</v>
      </c>
      <c r="D69" s="90">
        <f>C69*INDEX(C71:E73,MATCH('Edit This Sheet'!$B$19,Inputs!C70:E70,0),MATCH('Edit This Sheet'!$D$19,Inputs!B71:B73,0))</f>
        <v>0</v>
      </c>
    </row>
    <row r="70" spans="2:5">
      <c r="B70" s="95" t="s">
        <v>107</v>
      </c>
      <c r="C70" s="96" t="s">
        <v>71</v>
      </c>
      <c r="D70" s="96" t="s">
        <v>59</v>
      </c>
      <c r="E70" s="96" t="s">
        <v>60</v>
      </c>
    </row>
    <row r="71" spans="2:5">
      <c r="B71" s="95" t="s">
        <v>71</v>
      </c>
      <c r="C71" s="97">
        <v>2</v>
      </c>
      <c r="D71" s="97">
        <v>0</v>
      </c>
      <c r="E71" s="97">
        <v>0</v>
      </c>
    </row>
    <row r="72" spans="2:5">
      <c r="B72" s="95" t="s">
        <v>59</v>
      </c>
      <c r="C72" s="97">
        <v>0</v>
      </c>
      <c r="D72" s="97">
        <v>0</v>
      </c>
      <c r="E72" s="97">
        <v>0</v>
      </c>
    </row>
    <row r="73" spans="2:5">
      <c r="B73" s="95" t="s">
        <v>60</v>
      </c>
      <c r="C73" s="97">
        <v>0</v>
      </c>
      <c r="D73" s="97">
        <v>0</v>
      </c>
      <c r="E73" s="97">
        <v>0</v>
      </c>
    </row>
    <row r="75" spans="2:5">
      <c r="B75" s="93" t="s">
        <v>103</v>
      </c>
      <c r="C75" s="90">
        <f>IF(AND(C68&gt;=0.2,C68&lt;0.5),1,0)</f>
        <v>0</v>
      </c>
      <c r="D75" s="90">
        <f>C75*INDEX(C77:E79,MATCH('Edit This Sheet'!$B$19,Inputs!C76:E76,0),MATCH('Edit This Sheet'!$D$19,Inputs!B77:B79,0))</f>
        <v>0</v>
      </c>
    </row>
    <row r="76" spans="2:5">
      <c r="B76" s="95" t="s">
        <v>107</v>
      </c>
      <c r="C76" s="96" t="s">
        <v>71</v>
      </c>
      <c r="D76" s="96" t="s">
        <v>59</v>
      </c>
      <c r="E76" s="96" t="s">
        <v>60</v>
      </c>
    </row>
    <row r="77" spans="2:5">
      <c r="B77" s="95" t="s">
        <v>71</v>
      </c>
      <c r="C77" s="97">
        <v>3</v>
      </c>
      <c r="D77" s="97">
        <v>0</v>
      </c>
      <c r="E77" s="97">
        <v>0</v>
      </c>
    </row>
    <row r="78" spans="2:5">
      <c r="B78" s="95" t="s">
        <v>59</v>
      </c>
      <c r="C78" s="97">
        <v>1</v>
      </c>
      <c r="D78" s="97">
        <v>1</v>
      </c>
      <c r="E78" s="97">
        <v>0</v>
      </c>
    </row>
    <row r="79" spans="2:5">
      <c r="B79" s="94" t="s">
        <v>60</v>
      </c>
      <c r="C79" s="97">
        <v>0</v>
      </c>
      <c r="D79" s="97">
        <v>0</v>
      </c>
      <c r="E79" s="97">
        <v>0</v>
      </c>
    </row>
    <row r="80" spans="2:5">
      <c r="C80" s="90"/>
      <c r="D80" s="90"/>
    </row>
    <row r="81" spans="2:5">
      <c r="B81" s="93" t="s">
        <v>104</v>
      </c>
      <c r="C81" s="90">
        <f>IF(AND(C68&gt;=0.5,C68&lt;0.8),1,0)</f>
        <v>0</v>
      </c>
      <c r="D81" s="90">
        <f>C81*INDEX(C83:E85,MATCH('Edit This Sheet'!$B$19,Inputs!C82:E82,0),MATCH('Edit This Sheet'!$D$19,Inputs!B83:B85,0))</f>
        <v>0</v>
      </c>
    </row>
    <row r="82" spans="2:5">
      <c r="B82" s="95" t="s">
        <v>107</v>
      </c>
      <c r="C82" s="96" t="s">
        <v>71</v>
      </c>
      <c r="D82" s="96" t="s">
        <v>59</v>
      </c>
      <c r="E82" s="96" t="s">
        <v>60</v>
      </c>
    </row>
    <row r="83" spans="2:5">
      <c r="B83" s="95" t="s">
        <v>71</v>
      </c>
      <c r="C83" s="97">
        <v>4</v>
      </c>
      <c r="D83" s="97">
        <v>1</v>
      </c>
      <c r="E83" s="97">
        <v>0</v>
      </c>
    </row>
    <row r="84" spans="2:5">
      <c r="B84" s="95" t="s">
        <v>59</v>
      </c>
      <c r="C84" s="97">
        <v>2</v>
      </c>
      <c r="D84" s="97">
        <v>3</v>
      </c>
      <c r="E84" s="97">
        <v>0</v>
      </c>
    </row>
    <row r="85" spans="2:5">
      <c r="B85" s="95" t="s">
        <v>60</v>
      </c>
      <c r="C85" s="97">
        <v>0</v>
      </c>
      <c r="D85" s="97">
        <v>0</v>
      </c>
      <c r="E85" s="97">
        <v>0</v>
      </c>
    </row>
    <row r="86" spans="2:5">
      <c r="C86" s="90"/>
      <c r="D86" s="90"/>
      <c r="E86" s="101"/>
    </row>
    <row r="87" spans="2:5">
      <c r="B87" s="93" t="s">
        <v>105</v>
      </c>
      <c r="C87" s="90">
        <f>IF(AND(C68&gt;=0.5,C68&lt;0.8),1,0)</f>
        <v>0</v>
      </c>
      <c r="D87" s="90">
        <f>C87*INDEX(C89:E91,MATCH('Edit This Sheet'!$B$19,Inputs!C88:E88,0),MATCH('Edit This Sheet'!$D$19,Inputs!B89:B91,0))</f>
        <v>0</v>
      </c>
    </row>
    <row r="88" spans="2:5">
      <c r="B88" s="95" t="s">
        <v>107</v>
      </c>
      <c r="C88" s="96" t="s">
        <v>71</v>
      </c>
      <c r="D88" s="96" t="s">
        <v>59</v>
      </c>
      <c r="E88" s="96" t="s">
        <v>60</v>
      </c>
    </row>
    <row r="89" spans="2:5">
      <c r="B89" s="95" t="s">
        <v>71</v>
      </c>
      <c r="C89" s="97">
        <v>5</v>
      </c>
      <c r="D89" s="97">
        <v>2</v>
      </c>
      <c r="E89" s="97">
        <v>0</v>
      </c>
    </row>
    <row r="90" spans="2:5">
      <c r="B90" s="95" t="s">
        <v>59</v>
      </c>
      <c r="C90" s="97">
        <v>3</v>
      </c>
      <c r="D90" s="97">
        <v>5</v>
      </c>
      <c r="E90" s="97">
        <v>0</v>
      </c>
    </row>
    <row r="91" spans="2:5">
      <c r="B91" s="95" t="s">
        <v>60</v>
      </c>
      <c r="C91" s="97">
        <v>0</v>
      </c>
      <c r="D91" s="97">
        <v>0</v>
      </c>
      <c r="E91" s="97">
        <v>0</v>
      </c>
    </row>
    <row r="92" spans="2:5">
      <c r="C92" s="90"/>
      <c r="D92" s="90"/>
      <c r="E92" s="101"/>
    </row>
    <row r="93" spans="2:5">
      <c r="B93" s="93" t="s">
        <v>106</v>
      </c>
      <c r="C93" s="90">
        <f>IF(C68&gt;0.9,1,0)</f>
        <v>0</v>
      </c>
      <c r="D93" s="90">
        <f>C93*INDEX(C95:E97,MATCH('Edit This Sheet'!$B$19,Inputs!C94:E94,0),MATCH('Edit This Sheet'!$D$19,Inputs!B95:B97,0))</f>
        <v>0</v>
      </c>
    </row>
    <row r="94" spans="2:5">
      <c r="B94" s="95" t="s">
        <v>107</v>
      </c>
      <c r="C94" s="96" t="s">
        <v>71</v>
      </c>
      <c r="D94" s="96" t="s">
        <v>59</v>
      </c>
      <c r="E94" s="96" t="s">
        <v>60</v>
      </c>
    </row>
    <row r="95" spans="2:5">
      <c r="B95" s="95" t="s">
        <v>71</v>
      </c>
      <c r="C95" s="97">
        <v>5</v>
      </c>
      <c r="D95" s="97">
        <v>3</v>
      </c>
      <c r="E95" s="97">
        <v>0</v>
      </c>
    </row>
    <row r="96" spans="2:5">
      <c r="B96" s="95" t="s">
        <v>59</v>
      </c>
      <c r="C96" s="97">
        <v>3</v>
      </c>
      <c r="D96" s="97">
        <v>5</v>
      </c>
      <c r="E96" s="97">
        <v>0</v>
      </c>
    </row>
    <row r="97" spans="2:5">
      <c r="B97" s="95" t="s">
        <v>60</v>
      </c>
      <c r="C97" s="97">
        <v>0</v>
      </c>
      <c r="D97" s="97">
        <v>0</v>
      </c>
      <c r="E97" s="97">
        <v>0</v>
      </c>
    </row>
    <row r="100" spans="2:5" ht="20" thickBot="1">
      <c r="B100" s="98" t="s">
        <v>117</v>
      </c>
      <c r="C100" s="99">
        <f>'Edit This Sheet'!A80/62</f>
        <v>0</v>
      </c>
      <c r="D100" s="100">
        <f>SUM(D101,D107,D113,D125)</f>
        <v>0</v>
      </c>
    </row>
    <row r="101" spans="2:5" ht="16">
      <c r="B101" s="92" t="s">
        <v>102</v>
      </c>
      <c r="C101" s="90">
        <f>IF(C100&lt;0.2,1,0)</f>
        <v>1</v>
      </c>
      <c r="D101" s="90">
        <f>C101*INDEX(C103:E105,MATCH('Edit This Sheet'!$B$20,Inputs!C102:E102,0),MATCH('Edit This Sheet'!$D$20,Inputs!B103:B105,0))</f>
        <v>0</v>
      </c>
    </row>
    <row r="102" spans="2:5">
      <c r="B102" s="95" t="s">
        <v>107</v>
      </c>
      <c r="C102" s="96" t="s">
        <v>71</v>
      </c>
      <c r="D102" s="96" t="s">
        <v>59</v>
      </c>
      <c r="E102" s="96" t="s">
        <v>60</v>
      </c>
    </row>
    <row r="103" spans="2:5">
      <c r="B103" s="95" t="s">
        <v>71</v>
      </c>
      <c r="C103" s="97">
        <v>2</v>
      </c>
      <c r="D103" s="97">
        <v>0</v>
      </c>
      <c r="E103" s="97">
        <v>0</v>
      </c>
    </row>
    <row r="104" spans="2:5">
      <c r="B104" s="95" t="s">
        <v>59</v>
      </c>
      <c r="C104" s="97">
        <v>0</v>
      </c>
      <c r="D104" s="97">
        <v>0</v>
      </c>
      <c r="E104" s="97">
        <v>0</v>
      </c>
    </row>
    <row r="105" spans="2:5">
      <c r="B105" s="95" t="s">
        <v>60</v>
      </c>
      <c r="C105" s="97">
        <v>0</v>
      </c>
      <c r="D105" s="97">
        <v>0</v>
      </c>
      <c r="E105" s="97">
        <v>0</v>
      </c>
    </row>
    <row r="107" spans="2:5">
      <c r="B107" s="93" t="s">
        <v>103</v>
      </c>
      <c r="C107" s="90">
        <f>IF(AND(C100&gt;=0.2,C100&lt;0.5),1,0)</f>
        <v>0</v>
      </c>
      <c r="D107" s="90">
        <f>C107*INDEX(C109:E111,MATCH('Edit This Sheet'!$B$20,Inputs!C108:E108,0),MATCH('Edit This Sheet'!$D$20,Inputs!B109:B111,0))</f>
        <v>0</v>
      </c>
    </row>
    <row r="108" spans="2:5">
      <c r="B108" s="95" t="s">
        <v>107</v>
      </c>
      <c r="C108" s="96" t="s">
        <v>71</v>
      </c>
      <c r="D108" s="96" t="s">
        <v>59</v>
      </c>
      <c r="E108" s="96" t="s">
        <v>60</v>
      </c>
    </row>
    <row r="109" spans="2:5">
      <c r="B109" s="95" t="s">
        <v>71</v>
      </c>
      <c r="C109" s="97">
        <v>3</v>
      </c>
      <c r="D109" s="97">
        <v>0</v>
      </c>
      <c r="E109" s="97">
        <v>0</v>
      </c>
    </row>
    <row r="110" spans="2:5">
      <c r="B110" s="95" t="s">
        <v>59</v>
      </c>
      <c r="C110" s="97">
        <v>1</v>
      </c>
      <c r="D110" s="97">
        <v>1</v>
      </c>
      <c r="E110" s="97">
        <v>0</v>
      </c>
    </row>
    <row r="111" spans="2:5">
      <c r="B111" s="94" t="s">
        <v>60</v>
      </c>
      <c r="C111" s="97">
        <v>0</v>
      </c>
      <c r="D111" s="97">
        <v>0</v>
      </c>
      <c r="E111" s="97">
        <v>0</v>
      </c>
    </row>
    <row r="112" spans="2:5">
      <c r="C112" s="90"/>
      <c r="D112" s="90"/>
    </row>
    <row r="113" spans="2:5">
      <c r="B113" s="93" t="s">
        <v>104</v>
      </c>
      <c r="C113" s="90">
        <f>IF(AND(C100&gt;=0.5,C100&lt;0.8),1,0)</f>
        <v>0</v>
      </c>
      <c r="D113" s="90">
        <f>C113*INDEX(C115:E117,MATCH('Edit This Sheet'!$B$20,Inputs!C114:E114,0),MATCH('Edit This Sheet'!$D$20,Inputs!B115:B117,0))</f>
        <v>0</v>
      </c>
    </row>
    <row r="114" spans="2:5">
      <c r="B114" s="95" t="s">
        <v>107</v>
      </c>
      <c r="C114" s="96" t="s">
        <v>71</v>
      </c>
      <c r="D114" s="96" t="s">
        <v>59</v>
      </c>
      <c r="E114" s="96" t="s">
        <v>60</v>
      </c>
    </row>
    <row r="115" spans="2:5">
      <c r="B115" s="95" t="s">
        <v>71</v>
      </c>
      <c r="C115" s="97">
        <v>4</v>
      </c>
      <c r="D115" s="97">
        <v>1</v>
      </c>
      <c r="E115" s="97">
        <v>0</v>
      </c>
    </row>
    <row r="116" spans="2:5">
      <c r="B116" s="95" t="s">
        <v>59</v>
      </c>
      <c r="C116" s="97">
        <v>2</v>
      </c>
      <c r="D116" s="97">
        <v>3</v>
      </c>
      <c r="E116" s="97">
        <v>0</v>
      </c>
    </row>
    <row r="117" spans="2:5">
      <c r="B117" s="95" t="s">
        <v>60</v>
      </c>
      <c r="C117" s="97">
        <v>0</v>
      </c>
      <c r="D117" s="97">
        <v>0</v>
      </c>
      <c r="E117" s="97">
        <v>0</v>
      </c>
    </row>
    <row r="118" spans="2:5">
      <c r="C118" s="90"/>
      <c r="D118" s="90"/>
      <c r="E118" s="101"/>
    </row>
    <row r="119" spans="2:5">
      <c r="B119" s="93" t="s">
        <v>105</v>
      </c>
      <c r="C119" s="90">
        <f>IF(AND(C100&gt;=0.5,C100&lt;0.8),1,0)</f>
        <v>0</v>
      </c>
      <c r="D119" s="90">
        <f>C119*INDEX(C121:E123,MATCH('Edit This Sheet'!$B$20,Inputs!C120:E120,0),MATCH('Edit This Sheet'!$D$20,Inputs!B121:B123,0))</f>
        <v>0</v>
      </c>
    </row>
    <row r="120" spans="2:5">
      <c r="B120" s="95" t="s">
        <v>107</v>
      </c>
      <c r="C120" s="96" t="s">
        <v>71</v>
      </c>
      <c r="D120" s="96" t="s">
        <v>59</v>
      </c>
      <c r="E120" s="96" t="s">
        <v>60</v>
      </c>
    </row>
    <row r="121" spans="2:5">
      <c r="B121" s="95" t="s">
        <v>71</v>
      </c>
      <c r="C121" s="97">
        <v>5</v>
      </c>
      <c r="D121" s="97">
        <v>2</v>
      </c>
      <c r="E121" s="97">
        <v>0</v>
      </c>
    </row>
    <row r="122" spans="2:5">
      <c r="B122" s="95" t="s">
        <v>59</v>
      </c>
      <c r="C122" s="97">
        <v>3</v>
      </c>
      <c r="D122" s="97">
        <v>5</v>
      </c>
      <c r="E122" s="97">
        <v>0</v>
      </c>
    </row>
    <row r="123" spans="2:5">
      <c r="B123" s="95" t="s">
        <v>60</v>
      </c>
      <c r="C123" s="97">
        <v>0</v>
      </c>
      <c r="D123" s="97">
        <v>0</v>
      </c>
      <c r="E123" s="97">
        <v>0</v>
      </c>
    </row>
    <row r="124" spans="2:5">
      <c r="C124" s="90"/>
      <c r="D124" s="90"/>
      <c r="E124" s="101"/>
    </row>
    <row r="125" spans="2:5">
      <c r="B125" s="93" t="s">
        <v>106</v>
      </c>
      <c r="C125" s="90">
        <f>IF(C100&gt;0.9,1,0)</f>
        <v>0</v>
      </c>
      <c r="D125" s="90">
        <f>C125*INDEX(C127:E129,MATCH('Edit This Sheet'!$B$20,Inputs!C126:E126,0),MATCH('Edit This Sheet'!$D$20,Inputs!B127:B129,0))</f>
        <v>0</v>
      </c>
    </row>
    <row r="126" spans="2:5">
      <c r="B126" s="95" t="s">
        <v>107</v>
      </c>
      <c r="C126" s="96" t="s">
        <v>71</v>
      </c>
      <c r="D126" s="96" t="s">
        <v>59</v>
      </c>
      <c r="E126" s="96" t="s">
        <v>60</v>
      </c>
    </row>
    <row r="127" spans="2:5">
      <c r="B127" s="95" t="s">
        <v>71</v>
      </c>
      <c r="C127" s="97">
        <v>5</v>
      </c>
      <c r="D127" s="97">
        <v>3</v>
      </c>
      <c r="E127" s="97">
        <v>0</v>
      </c>
    </row>
    <row r="128" spans="2:5">
      <c r="B128" s="95" t="s">
        <v>59</v>
      </c>
      <c r="C128" s="97">
        <v>3</v>
      </c>
      <c r="D128" s="97">
        <v>5</v>
      </c>
      <c r="E128" s="97">
        <v>0</v>
      </c>
    </row>
    <row r="129" spans="2:5">
      <c r="B129" s="95" t="s">
        <v>60</v>
      </c>
      <c r="C129" s="97">
        <v>0</v>
      </c>
      <c r="D129" s="97">
        <v>0</v>
      </c>
      <c r="E129" s="97">
        <v>0</v>
      </c>
    </row>
    <row r="132" spans="2:5" ht="20" thickBot="1">
      <c r="B132" s="98" t="s">
        <v>118</v>
      </c>
      <c r="C132" s="99">
        <f>'Edit This Sheet'!A112/62</f>
        <v>0</v>
      </c>
      <c r="D132" s="100">
        <f>SUM(D133,D139,D145,D157)</f>
        <v>0</v>
      </c>
    </row>
    <row r="133" spans="2:5" ht="16">
      <c r="B133" s="92" t="s">
        <v>102</v>
      </c>
      <c r="C133" s="90">
        <f>IF(C132&lt;0.2,1,0)</f>
        <v>1</v>
      </c>
      <c r="D133" s="90">
        <f>C133*INDEX(C135:E137,MATCH('Edit This Sheet'!$B$21,Inputs!C134:E134,0),MATCH('Edit This Sheet'!$D$21,Inputs!B135:B137,0))</f>
        <v>0</v>
      </c>
    </row>
    <row r="134" spans="2:5">
      <c r="B134" s="95" t="s">
        <v>107</v>
      </c>
      <c r="C134" s="96" t="s">
        <v>71</v>
      </c>
      <c r="D134" s="96" t="s">
        <v>59</v>
      </c>
      <c r="E134" s="96" t="s">
        <v>60</v>
      </c>
    </row>
    <row r="135" spans="2:5">
      <c r="B135" s="95" t="s">
        <v>71</v>
      </c>
      <c r="C135" s="97">
        <v>2</v>
      </c>
      <c r="D135" s="97">
        <v>0</v>
      </c>
      <c r="E135" s="97">
        <v>0</v>
      </c>
    </row>
    <row r="136" spans="2:5">
      <c r="B136" s="95" t="s">
        <v>59</v>
      </c>
      <c r="C136" s="97">
        <v>0</v>
      </c>
      <c r="D136" s="97">
        <v>0</v>
      </c>
      <c r="E136" s="97">
        <v>0</v>
      </c>
    </row>
    <row r="137" spans="2:5">
      <c r="B137" s="95" t="s">
        <v>60</v>
      </c>
      <c r="C137" s="97">
        <v>0</v>
      </c>
      <c r="D137" s="97">
        <v>0</v>
      </c>
      <c r="E137" s="97">
        <v>0</v>
      </c>
    </row>
    <row r="139" spans="2:5">
      <c r="B139" s="93" t="s">
        <v>103</v>
      </c>
      <c r="C139" s="90">
        <f>IF(AND(C132&gt;=0.2,C132&lt;0.5),1,0)</f>
        <v>0</v>
      </c>
      <c r="D139" s="90">
        <f>C139*INDEX(C141:E143,MATCH('Edit This Sheet'!$B$21,Inputs!C140:E140,0),MATCH('Edit This Sheet'!$D$21,Inputs!B141:B143,0))</f>
        <v>0</v>
      </c>
    </row>
    <row r="140" spans="2:5">
      <c r="B140" s="95" t="s">
        <v>107</v>
      </c>
      <c r="C140" s="96" t="s">
        <v>71</v>
      </c>
      <c r="D140" s="96" t="s">
        <v>59</v>
      </c>
      <c r="E140" s="96" t="s">
        <v>60</v>
      </c>
    </row>
    <row r="141" spans="2:5">
      <c r="B141" s="95" t="s">
        <v>71</v>
      </c>
      <c r="C141" s="97">
        <v>3</v>
      </c>
      <c r="D141" s="97">
        <v>0</v>
      </c>
      <c r="E141" s="97">
        <v>0</v>
      </c>
    </row>
    <row r="142" spans="2:5">
      <c r="B142" s="95" t="s">
        <v>59</v>
      </c>
      <c r="C142" s="97">
        <v>1</v>
      </c>
      <c r="D142" s="97">
        <v>1</v>
      </c>
      <c r="E142" s="97">
        <v>0</v>
      </c>
    </row>
    <row r="143" spans="2:5">
      <c r="B143" s="94" t="s">
        <v>60</v>
      </c>
      <c r="C143" s="97">
        <v>0</v>
      </c>
      <c r="D143" s="97">
        <v>0</v>
      </c>
      <c r="E143" s="97">
        <v>0</v>
      </c>
    </row>
    <row r="144" spans="2:5">
      <c r="C144" s="90"/>
      <c r="D144" s="90"/>
    </row>
    <row r="145" spans="2:5">
      <c r="B145" s="93" t="s">
        <v>104</v>
      </c>
      <c r="C145" s="90">
        <f>IF(AND(C132&gt;=0.5,C132&lt;0.8),1,0)</f>
        <v>0</v>
      </c>
      <c r="D145" s="90">
        <f>C145*INDEX(C147:E149,MATCH('Edit This Sheet'!$B$21,Inputs!C146:E146,0),MATCH('Edit This Sheet'!$D$21,Inputs!B147:B149,0))</f>
        <v>0</v>
      </c>
    </row>
    <row r="146" spans="2:5">
      <c r="B146" s="95" t="s">
        <v>107</v>
      </c>
      <c r="C146" s="96" t="s">
        <v>71</v>
      </c>
      <c r="D146" s="96" t="s">
        <v>59</v>
      </c>
      <c r="E146" s="96" t="s">
        <v>60</v>
      </c>
    </row>
    <row r="147" spans="2:5">
      <c r="B147" s="95" t="s">
        <v>71</v>
      </c>
      <c r="C147" s="97">
        <v>4</v>
      </c>
      <c r="D147" s="97">
        <v>1</v>
      </c>
      <c r="E147" s="97">
        <v>0</v>
      </c>
    </row>
    <row r="148" spans="2:5">
      <c r="B148" s="95" t="s">
        <v>59</v>
      </c>
      <c r="C148" s="97">
        <v>2</v>
      </c>
      <c r="D148" s="97">
        <v>3</v>
      </c>
      <c r="E148" s="97">
        <v>0</v>
      </c>
    </row>
    <row r="149" spans="2:5">
      <c r="B149" s="95" t="s">
        <v>60</v>
      </c>
      <c r="C149" s="97">
        <v>0</v>
      </c>
      <c r="D149" s="97">
        <v>0</v>
      </c>
      <c r="E149" s="97">
        <v>0</v>
      </c>
    </row>
    <row r="150" spans="2:5">
      <c r="C150" s="90"/>
      <c r="D150" s="90"/>
      <c r="E150" s="101"/>
    </row>
    <row r="151" spans="2:5">
      <c r="B151" s="93" t="s">
        <v>105</v>
      </c>
      <c r="C151" s="90">
        <f>IF(AND(C132&gt;=0.5,C132&lt;0.8),1,0)</f>
        <v>0</v>
      </c>
      <c r="D151" s="90">
        <f>C151*INDEX(C153:E155,MATCH('Edit This Sheet'!$B$21,Inputs!C152:E152,0),MATCH('Edit This Sheet'!$D$21,Inputs!B153:B155,0))</f>
        <v>0</v>
      </c>
    </row>
    <row r="152" spans="2:5">
      <c r="B152" s="95" t="s">
        <v>107</v>
      </c>
      <c r="C152" s="96" t="s">
        <v>71</v>
      </c>
      <c r="D152" s="96" t="s">
        <v>59</v>
      </c>
      <c r="E152" s="96" t="s">
        <v>60</v>
      </c>
    </row>
    <row r="153" spans="2:5">
      <c r="B153" s="95" t="s">
        <v>71</v>
      </c>
      <c r="C153" s="97">
        <v>5</v>
      </c>
      <c r="D153" s="97">
        <v>2</v>
      </c>
      <c r="E153" s="97">
        <v>0</v>
      </c>
    </row>
    <row r="154" spans="2:5">
      <c r="B154" s="95" t="s">
        <v>59</v>
      </c>
      <c r="C154" s="97">
        <v>3</v>
      </c>
      <c r="D154" s="97">
        <v>5</v>
      </c>
      <c r="E154" s="97">
        <v>0</v>
      </c>
    </row>
    <row r="155" spans="2:5">
      <c r="B155" s="95" t="s">
        <v>60</v>
      </c>
      <c r="C155" s="97">
        <v>0</v>
      </c>
      <c r="D155" s="97">
        <v>0</v>
      </c>
      <c r="E155" s="97">
        <v>0</v>
      </c>
    </row>
    <row r="156" spans="2:5">
      <c r="C156" s="90"/>
      <c r="D156" s="90"/>
      <c r="E156" s="101"/>
    </row>
    <row r="157" spans="2:5">
      <c r="B157" s="93" t="s">
        <v>106</v>
      </c>
      <c r="C157" s="90">
        <f>IF(C132&gt;0.9,1,0)</f>
        <v>0</v>
      </c>
      <c r="D157" s="90">
        <f>C157*INDEX(C159:E161,MATCH('Edit This Sheet'!$B$21,Inputs!C158:E158,0),MATCH('Edit This Sheet'!$D$21,Inputs!B159:B161,0))</f>
        <v>0</v>
      </c>
    </row>
    <row r="158" spans="2:5">
      <c r="B158" s="95" t="s">
        <v>107</v>
      </c>
      <c r="C158" s="96" t="s">
        <v>71</v>
      </c>
      <c r="D158" s="96" t="s">
        <v>59</v>
      </c>
      <c r="E158" s="96" t="s">
        <v>60</v>
      </c>
    </row>
    <row r="159" spans="2:5">
      <c r="B159" s="95" t="s">
        <v>71</v>
      </c>
      <c r="C159" s="97">
        <v>5</v>
      </c>
      <c r="D159" s="97">
        <v>3</v>
      </c>
      <c r="E159" s="97">
        <v>0</v>
      </c>
    </row>
    <row r="160" spans="2:5">
      <c r="B160" s="95" t="s">
        <v>59</v>
      </c>
      <c r="C160" s="97">
        <v>3</v>
      </c>
      <c r="D160" s="97">
        <v>5</v>
      </c>
      <c r="E160" s="97">
        <v>0</v>
      </c>
    </row>
    <row r="161" spans="2:5">
      <c r="B161" s="95" t="s">
        <v>60</v>
      </c>
      <c r="C161" s="97">
        <v>0</v>
      </c>
      <c r="D161" s="97">
        <v>0</v>
      </c>
      <c r="E161" s="97">
        <v>0</v>
      </c>
    </row>
    <row r="164" spans="2:5" ht="20" thickBot="1">
      <c r="B164" s="98" t="s">
        <v>119</v>
      </c>
      <c r="C164" s="99">
        <f>'Edit This Sheet'!A144/62</f>
        <v>0</v>
      </c>
      <c r="D164" s="100">
        <f>SUM(D165,D171,D177,D189)</f>
        <v>0</v>
      </c>
    </row>
    <row r="165" spans="2:5" ht="16">
      <c r="B165" s="92" t="s">
        <v>102</v>
      </c>
      <c r="C165" s="90">
        <f>IF(C164&lt;0.2,1,0)</f>
        <v>1</v>
      </c>
      <c r="D165" s="90">
        <f>C165*INDEX(C167:E169,MATCH('Edit This Sheet'!$B$25,Inputs!C166:E166,0),MATCH('Edit This Sheet'!$D$25,Inputs!B167:B169,0))</f>
        <v>0</v>
      </c>
    </row>
    <row r="166" spans="2:5">
      <c r="B166" s="95" t="s">
        <v>107</v>
      </c>
      <c r="C166" s="96" t="s">
        <v>71</v>
      </c>
      <c r="D166" s="96" t="s">
        <v>59</v>
      </c>
      <c r="E166" s="96" t="s">
        <v>60</v>
      </c>
    </row>
    <row r="167" spans="2:5">
      <c r="B167" s="95" t="s">
        <v>71</v>
      </c>
      <c r="C167" s="97">
        <v>2</v>
      </c>
      <c r="D167" s="97">
        <v>0</v>
      </c>
      <c r="E167" s="97">
        <v>0</v>
      </c>
    </row>
    <row r="168" spans="2:5">
      <c r="B168" s="95" t="s">
        <v>59</v>
      </c>
      <c r="C168" s="97">
        <v>0</v>
      </c>
      <c r="D168" s="97">
        <v>0</v>
      </c>
      <c r="E168" s="97">
        <v>0</v>
      </c>
    </row>
    <row r="169" spans="2:5">
      <c r="B169" s="95" t="s">
        <v>60</v>
      </c>
      <c r="C169" s="97">
        <v>0</v>
      </c>
      <c r="D169" s="97">
        <v>0</v>
      </c>
      <c r="E169" s="97">
        <v>0</v>
      </c>
    </row>
    <row r="171" spans="2:5">
      <c r="B171" s="93" t="s">
        <v>103</v>
      </c>
      <c r="C171" s="90">
        <f>IF(AND(C164&gt;=0.2,C164&lt;0.5),1,0)</f>
        <v>0</v>
      </c>
      <c r="D171" s="90">
        <f>C171*INDEX(C173:E175,MATCH('Edit This Sheet'!$B$25,Inputs!C172:E172,0),MATCH('Edit This Sheet'!$D$25,Inputs!B173:B175,0))</f>
        <v>0</v>
      </c>
    </row>
    <row r="172" spans="2:5">
      <c r="B172" s="95" t="s">
        <v>107</v>
      </c>
      <c r="C172" s="96" t="s">
        <v>71</v>
      </c>
      <c r="D172" s="96" t="s">
        <v>59</v>
      </c>
      <c r="E172" s="96" t="s">
        <v>60</v>
      </c>
    </row>
    <row r="173" spans="2:5">
      <c r="B173" s="95" t="s">
        <v>71</v>
      </c>
      <c r="C173" s="97">
        <v>3</v>
      </c>
      <c r="D173" s="97">
        <v>0</v>
      </c>
      <c r="E173" s="97">
        <v>0</v>
      </c>
    </row>
    <row r="174" spans="2:5">
      <c r="B174" s="95" t="s">
        <v>59</v>
      </c>
      <c r="C174" s="97">
        <v>1</v>
      </c>
      <c r="D174" s="97">
        <v>1</v>
      </c>
      <c r="E174" s="97">
        <v>0</v>
      </c>
    </row>
    <row r="175" spans="2:5">
      <c r="B175" s="94" t="s">
        <v>60</v>
      </c>
      <c r="C175" s="97">
        <v>0</v>
      </c>
      <c r="D175" s="97">
        <v>0</v>
      </c>
      <c r="E175" s="97">
        <v>0</v>
      </c>
    </row>
    <row r="176" spans="2:5">
      <c r="C176" s="90"/>
      <c r="D176" s="90"/>
    </row>
    <row r="177" spans="2:5">
      <c r="B177" s="93" t="s">
        <v>104</v>
      </c>
      <c r="C177" s="90">
        <f>IF(AND(C164&gt;=0.5,C164&lt;0.8),1,0)</f>
        <v>0</v>
      </c>
      <c r="D177" s="90">
        <f>C177*INDEX(C179:E181,MATCH('Edit This Sheet'!$B$25,Inputs!C178:E178,0),MATCH('Edit This Sheet'!$D$25,Inputs!B179:B181,0))</f>
        <v>0</v>
      </c>
    </row>
    <row r="178" spans="2:5">
      <c r="B178" s="95" t="s">
        <v>107</v>
      </c>
      <c r="C178" s="96" t="s">
        <v>71</v>
      </c>
      <c r="D178" s="96" t="s">
        <v>59</v>
      </c>
      <c r="E178" s="96" t="s">
        <v>60</v>
      </c>
    </row>
    <row r="179" spans="2:5">
      <c r="B179" s="95" t="s">
        <v>71</v>
      </c>
      <c r="C179" s="97">
        <v>4</v>
      </c>
      <c r="D179" s="97">
        <v>1</v>
      </c>
      <c r="E179" s="97">
        <v>0</v>
      </c>
    </row>
    <row r="180" spans="2:5">
      <c r="B180" s="95" t="s">
        <v>59</v>
      </c>
      <c r="C180" s="97">
        <v>2</v>
      </c>
      <c r="D180" s="97">
        <v>3</v>
      </c>
      <c r="E180" s="97">
        <v>0</v>
      </c>
    </row>
    <row r="181" spans="2:5">
      <c r="B181" s="95" t="s">
        <v>60</v>
      </c>
      <c r="C181" s="97">
        <v>0</v>
      </c>
      <c r="D181" s="97">
        <v>0</v>
      </c>
      <c r="E181" s="97">
        <v>0</v>
      </c>
    </row>
    <row r="182" spans="2:5">
      <c r="C182" s="90"/>
      <c r="D182" s="90"/>
      <c r="E182" s="101"/>
    </row>
    <row r="183" spans="2:5">
      <c r="B183" s="93" t="s">
        <v>105</v>
      </c>
      <c r="C183" s="90">
        <f>IF(AND(C164&gt;=0.5,C164&lt;0.8),1,0)</f>
        <v>0</v>
      </c>
      <c r="D183" s="90">
        <f>C183*INDEX(C185:E187,MATCH('Edit This Sheet'!$B$25,Inputs!C184:E184,0),MATCH('Edit This Sheet'!$D$25,Inputs!B185:B187,0))</f>
        <v>0</v>
      </c>
    </row>
    <row r="184" spans="2:5">
      <c r="B184" s="95" t="s">
        <v>107</v>
      </c>
      <c r="C184" s="96" t="s">
        <v>71</v>
      </c>
      <c r="D184" s="96" t="s">
        <v>59</v>
      </c>
      <c r="E184" s="96" t="s">
        <v>60</v>
      </c>
    </row>
    <row r="185" spans="2:5">
      <c r="B185" s="95" t="s">
        <v>71</v>
      </c>
      <c r="C185" s="97">
        <v>5</v>
      </c>
      <c r="D185" s="97">
        <v>2</v>
      </c>
      <c r="E185" s="97">
        <v>0</v>
      </c>
    </row>
    <row r="186" spans="2:5">
      <c r="B186" s="95" t="s">
        <v>59</v>
      </c>
      <c r="C186" s="97">
        <v>3</v>
      </c>
      <c r="D186" s="97">
        <v>5</v>
      </c>
      <c r="E186" s="97">
        <v>0</v>
      </c>
    </row>
    <row r="187" spans="2:5">
      <c r="B187" s="95" t="s">
        <v>60</v>
      </c>
      <c r="C187" s="97">
        <v>0</v>
      </c>
      <c r="D187" s="97">
        <v>0</v>
      </c>
      <c r="E187" s="97">
        <v>0</v>
      </c>
    </row>
    <row r="188" spans="2:5">
      <c r="C188" s="90"/>
      <c r="D188" s="90"/>
      <c r="E188" s="101"/>
    </row>
    <row r="189" spans="2:5">
      <c r="B189" s="93" t="s">
        <v>106</v>
      </c>
      <c r="C189" s="90">
        <f>IF(C164&gt;0.9,1,0)</f>
        <v>0</v>
      </c>
      <c r="D189" s="90">
        <f>C189*INDEX(C191:E193,MATCH('Edit This Sheet'!$B$25,Inputs!C190:E190,0),MATCH('Edit This Sheet'!$D$25,Inputs!B191:B193,0))</f>
        <v>0</v>
      </c>
    </row>
    <row r="190" spans="2:5">
      <c r="B190" s="95" t="s">
        <v>107</v>
      </c>
      <c r="C190" s="96" t="s">
        <v>71</v>
      </c>
      <c r="D190" s="96" t="s">
        <v>59</v>
      </c>
      <c r="E190" s="96" t="s">
        <v>60</v>
      </c>
    </row>
    <row r="191" spans="2:5">
      <c r="B191" s="95" t="s">
        <v>71</v>
      </c>
      <c r="C191" s="97">
        <v>5</v>
      </c>
      <c r="D191" s="97">
        <v>3</v>
      </c>
      <c r="E191" s="97">
        <v>0</v>
      </c>
    </row>
    <row r="192" spans="2:5">
      <c r="B192" s="95" t="s">
        <v>59</v>
      </c>
      <c r="C192" s="97">
        <v>3</v>
      </c>
      <c r="D192" s="97">
        <v>5</v>
      </c>
      <c r="E192" s="97">
        <v>0</v>
      </c>
    </row>
    <row r="193" spans="2:5">
      <c r="B193" s="95" t="s">
        <v>60</v>
      </c>
      <c r="C193" s="97">
        <v>0</v>
      </c>
      <c r="D193" s="97">
        <v>0</v>
      </c>
      <c r="E193" s="97">
        <v>0</v>
      </c>
    </row>
    <row r="196" spans="2:5" ht="20" thickBot="1">
      <c r="B196" s="98" t="s">
        <v>120</v>
      </c>
      <c r="C196" s="99">
        <f>'Edit This Sheet'!A176/62</f>
        <v>0</v>
      </c>
      <c r="D196" s="100">
        <f>SUM(D197,D203,D209,D221)</f>
        <v>0</v>
      </c>
    </row>
    <row r="197" spans="2:5" ht="16">
      <c r="B197" s="92" t="s">
        <v>102</v>
      </c>
      <c r="C197" s="90">
        <f>IF(C196&lt;0.2,1,0)</f>
        <v>1</v>
      </c>
      <c r="D197" s="90">
        <f>C197*INDEX(C199:E201,MATCH('Edit This Sheet'!$B$26,Inputs!C198:E198,0),MATCH('Edit This Sheet'!$D$26,Inputs!B199:B201,0))</f>
        <v>0</v>
      </c>
    </row>
    <row r="198" spans="2:5">
      <c r="B198" s="95" t="s">
        <v>107</v>
      </c>
      <c r="C198" s="96" t="s">
        <v>71</v>
      </c>
      <c r="D198" s="96" t="s">
        <v>59</v>
      </c>
      <c r="E198" s="96" t="s">
        <v>60</v>
      </c>
    </row>
    <row r="199" spans="2:5">
      <c r="B199" s="95" t="s">
        <v>71</v>
      </c>
      <c r="C199" s="97">
        <v>2</v>
      </c>
      <c r="D199" s="97">
        <v>0</v>
      </c>
      <c r="E199" s="97">
        <v>0</v>
      </c>
    </row>
    <row r="200" spans="2:5">
      <c r="B200" s="95" t="s">
        <v>59</v>
      </c>
      <c r="C200" s="97">
        <v>0</v>
      </c>
      <c r="D200" s="97">
        <v>0</v>
      </c>
      <c r="E200" s="97">
        <v>0</v>
      </c>
    </row>
    <row r="201" spans="2:5">
      <c r="B201" s="95" t="s">
        <v>60</v>
      </c>
      <c r="C201" s="97">
        <v>0</v>
      </c>
      <c r="D201" s="97">
        <v>0</v>
      </c>
      <c r="E201" s="97">
        <v>0</v>
      </c>
    </row>
    <row r="203" spans="2:5">
      <c r="B203" s="93" t="s">
        <v>103</v>
      </c>
      <c r="C203" s="90">
        <f>IF(AND(C196&gt;=0.2,C196&lt;0.5),1,0)</f>
        <v>0</v>
      </c>
      <c r="D203" s="90">
        <f>C203*INDEX(C205:E207,MATCH('Edit This Sheet'!$B$26,Inputs!C204:E204,0),MATCH('Edit This Sheet'!$D$26,Inputs!B205:B207,0))</f>
        <v>0</v>
      </c>
    </row>
    <row r="204" spans="2:5">
      <c r="B204" s="95" t="s">
        <v>107</v>
      </c>
      <c r="C204" s="96" t="s">
        <v>71</v>
      </c>
      <c r="D204" s="96" t="s">
        <v>59</v>
      </c>
      <c r="E204" s="96" t="s">
        <v>60</v>
      </c>
    </row>
    <row r="205" spans="2:5">
      <c r="B205" s="95" t="s">
        <v>71</v>
      </c>
      <c r="C205" s="97">
        <v>3</v>
      </c>
      <c r="D205" s="97">
        <v>0</v>
      </c>
      <c r="E205" s="97">
        <v>0</v>
      </c>
    </row>
    <row r="206" spans="2:5">
      <c r="B206" s="95" t="s">
        <v>59</v>
      </c>
      <c r="C206" s="97">
        <v>1</v>
      </c>
      <c r="D206" s="97">
        <v>1</v>
      </c>
      <c r="E206" s="97">
        <v>0</v>
      </c>
    </row>
    <row r="207" spans="2:5">
      <c r="B207" s="94" t="s">
        <v>60</v>
      </c>
      <c r="C207" s="97">
        <v>0</v>
      </c>
      <c r="D207" s="97">
        <v>0</v>
      </c>
      <c r="E207" s="97">
        <v>0</v>
      </c>
    </row>
    <row r="208" spans="2:5">
      <c r="C208" s="90"/>
      <c r="D208" s="90"/>
    </row>
    <row r="209" spans="2:5">
      <c r="B209" s="93" t="s">
        <v>104</v>
      </c>
      <c r="C209" s="90">
        <f>IF(AND(C196&gt;=0.5,C196&lt;0.8),1,0)</f>
        <v>0</v>
      </c>
      <c r="D209" s="90">
        <f>C209*INDEX(C211:E213,MATCH('Edit This Sheet'!$B$26,Inputs!C210:E210,0),MATCH('Edit This Sheet'!$D$26,Inputs!B211:B213,0))</f>
        <v>0</v>
      </c>
    </row>
    <row r="210" spans="2:5">
      <c r="B210" s="95" t="s">
        <v>107</v>
      </c>
      <c r="C210" s="96" t="s">
        <v>71</v>
      </c>
      <c r="D210" s="96" t="s">
        <v>59</v>
      </c>
      <c r="E210" s="96" t="s">
        <v>60</v>
      </c>
    </row>
    <row r="211" spans="2:5">
      <c r="B211" s="95" t="s">
        <v>71</v>
      </c>
      <c r="C211" s="97">
        <v>4</v>
      </c>
      <c r="D211" s="97">
        <v>1</v>
      </c>
      <c r="E211" s="97">
        <v>0</v>
      </c>
    </row>
    <row r="212" spans="2:5">
      <c r="B212" s="95" t="s">
        <v>59</v>
      </c>
      <c r="C212" s="97">
        <v>2</v>
      </c>
      <c r="D212" s="97">
        <v>3</v>
      </c>
      <c r="E212" s="97">
        <v>0</v>
      </c>
    </row>
    <row r="213" spans="2:5">
      <c r="B213" s="95" t="s">
        <v>60</v>
      </c>
      <c r="C213" s="97">
        <v>0</v>
      </c>
      <c r="D213" s="97">
        <v>0</v>
      </c>
      <c r="E213" s="97">
        <v>0</v>
      </c>
    </row>
    <row r="214" spans="2:5">
      <c r="C214" s="90"/>
      <c r="D214" s="90"/>
      <c r="E214" s="101"/>
    </row>
    <row r="215" spans="2:5">
      <c r="B215" s="93" t="s">
        <v>105</v>
      </c>
      <c r="C215" s="90">
        <f>IF(AND(C196&gt;=0.5,C196&lt;0.8),1,0)</f>
        <v>0</v>
      </c>
      <c r="D215" s="90">
        <f>C215*INDEX(C217:E219,MATCH('Edit This Sheet'!$B$26,Inputs!C216:E216,0),MATCH('Edit This Sheet'!$D$26,Inputs!B217:B219,0))</f>
        <v>0</v>
      </c>
    </row>
    <row r="216" spans="2:5">
      <c r="B216" s="95" t="s">
        <v>107</v>
      </c>
      <c r="C216" s="96" t="s">
        <v>71</v>
      </c>
      <c r="D216" s="96" t="s">
        <v>59</v>
      </c>
      <c r="E216" s="96" t="s">
        <v>60</v>
      </c>
    </row>
    <row r="217" spans="2:5">
      <c r="B217" s="95" t="s">
        <v>71</v>
      </c>
      <c r="C217" s="97">
        <v>5</v>
      </c>
      <c r="D217" s="97">
        <v>2</v>
      </c>
      <c r="E217" s="97">
        <v>0</v>
      </c>
    </row>
    <row r="218" spans="2:5">
      <c r="B218" s="95" t="s">
        <v>59</v>
      </c>
      <c r="C218" s="97">
        <v>3</v>
      </c>
      <c r="D218" s="97">
        <v>5</v>
      </c>
      <c r="E218" s="97">
        <v>0</v>
      </c>
    </row>
    <row r="219" spans="2:5">
      <c r="B219" s="95" t="s">
        <v>60</v>
      </c>
      <c r="C219" s="97">
        <v>0</v>
      </c>
      <c r="D219" s="97">
        <v>0</v>
      </c>
      <c r="E219" s="97">
        <v>0</v>
      </c>
    </row>
    <row r="220" spans="2:5">
      <c r="C220" s="90"/>
      <c r="D220" s="90"/>
      <c r="E220" s="101"/>
    </row>
    <row r="221" spans="2:5">
      <c r="B221" s="93" t="s">
        <v>106</v>
      </c>
      <c r="C221" s="90">
        <f>IF(C196&gt;0.9,1,0)</f>
        <v>0</v>
      </c>
      <c r="D221" s="90">
        <f>C221*INDEX(C223:E225,MATCH('Edit This Sheet'!$B$26,Inputs!C222:E222,0),MATCH('Edit This Sheet'!$D$26,Inputs!B223:B225,0))</f>
        <v>0</v>
      </c>
    </row>
    <row r="222" spans="2:5">
      <c r="B222" s="95" t="s">
        <v>107</v>
      </c>
      <c r="C222" s="96" t="s">
        <v>71</v>
      </c>
      <c r="D222" s="96" t="s">
        <v>59</v>
      </c>
      <c r="E222" s="96" t="s">
        <v>60</v>
      </c>
    </row>
    <row r="223" spans="2:5">
      <c r="B223" s="95" t="s">
        <v>71</v>
      </c>
      <c r="C223" s="97">
        <v>5</v>
      </c>
      <c r="D223" s="97">
        <v>3</v>
      </c>
      <c r="E223" s="97">
        <v>0</v>
      </c>
    </row>
    <row r="224" spans="2:5">
      <c r="B224" s="95" t="s">
        <v>59</v>
      </c>
      <c r="C224" s="97">
        <v>3</v>
      </c>
      <c r="D224" s="97">
        <v>5</v>
      </c>
      <c r="E224" s="97">
        <v>0</v>
      </c>
    </row>
    <row r="225" spans="2:5">
      <c r="B225" s="95" t="s">
        <v>60</v>
      </c>
      <c r="C225" s="97">
        <v>0</v>
      </c>
      <c r="D225" s="97">
        <v>0</v>
      </c>
      <c r="E225" s="97">
        <v>0</v>
      </c>
    </row>
  </sheetData>
  <mergeCells count="2">
    <mergeCell ref="B25:J25"/>
    <mergeCell ref="G2:P2"/>
  </mergeCells>
  <pageMargins left="0.7" right="0.7" top="0.75" bottom="0.75" header="0.3" footer="0.3"/>
  <pageSetup orientation="portrait" r:id="rId1"/>
  <customProperties>
    <customPr name="SSC_SHEET_GUID" r:id="rId2"/>
  </customPropertie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Do not edit</vt:lpstr>
      <vt:lpstr>Edit This Sheet</vt:lpstr>
      <vt:lpstr>Summary</vt:lpstr>
      <vt:lpstr>Export</vt:lpstr>
      <vt:lpstr>Inputs</vt:lpstr>
      <vt:lpstr>'Edit This Sheet'!Print_Area</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Viet (Admin)</dc:creator>
  <cp:lastModifiedBy>AJ Reese</cp:lastModifiedBy>
  <cp:revision/>
  <cp:lastPrinted>2018-11-11T15:44:49Z</cp:lastPrinted>
  <dcterms:created xsi:type="dcterms:W3CDTF">2016-11-30T20:41:12Z</dcterms:created>
  <dcterms:modified xsi:type="dcterms:W3CDTF">2019-05-28T02:20:26Z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906b66fe-3b26-4edf-ac0b-5966162a53dc</vt:lpwstr>
  </property>
</Properties>
</file>