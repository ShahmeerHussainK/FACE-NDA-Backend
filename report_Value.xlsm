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01" codeName="{0111311B-0956-48F4-D2DB-CD56BCBECE7C}"/>
  <workbookPr codeName="ThisWorkbook"/>
  <mc:AlternateContent xmlns:mc="http://schemas.openxmlformats.org/markup-compatibility/2006">
    <mc:Choice Requires="x15">
      <x15ac:absPath xmlns:x15ac="http://schemas.microsoft.com/office/spreadsheetml/2010/11/ac" url="C:\Users\ajohn_000\Desktop\"/>
    </mc:Choice>
  </mc:AlternateContent>
  <xr:revisionPtr revIDLastSave="0" documentId="13_ncr:1_{BDAB5D61-3A1B-4E2D-B085-CE96DF2DAF26}" xr6:coauthVersionLast="43" xr6:coauthVersionMax="44" xr10:uidLastSave="{00000000-0000-0000-0000-000000000000}"/>
  <bookViews>
    <workbookView xWindow="-120" yWindow="-120" windowWidth="20730" windowHeight="11760" xr2:uid="{00000000-000D-0000-FFFF-FFFF00000000}"/>
  </bookViews>
  <sheets>
    <sheet name="Do not edit" sheetId="1" r:id="rId1"/>
    <sheet name="Edit This Sheet" sheetId="2" r:id="rId2"/>
    <sheet name="Summary" sheetId="5" r:id="rId3"/>
    <sheet name="Export" sheetId="6" r:id="rId4"/>
    <sheet name="Inputs" sheetId="4" r:id="rId5"/>
  </sheets>
  <functionGroups builtInGroupCount="19"/>
  <definedNames>
    <definedName name="_xlnm.Print_Area" localSheetId="1">'Edit This Sheet'!$A$1:$D$42</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1" l="1"/>
  <c r="B19" i="1"/>
  <c r="B6" i="2"/>
  <c r="B5" i="2"/>
  <c r="D1" i="2" l="1"/>
  <c r="L17" i="4" l="1"/>
  <c r="B35" i="1" l="1"/>
  <c r="C97" i="5" l="1"/>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C196" i="4"/>
  <c r="C215" i="4" s="1"/>
  <c r="D215" i="4" s="1"/>
  <c r="C164" i="4"/>
  <c r="C183" i="4" s="1"/>
  <c r="D183" i="4" s="1"/>
  <c r="C132" i="4"/>
  <c r="C145" i="4" s="1"/>
  <c r="D145" i="4" s="1"/>
  <c r="C100" i="4"/>
  <c r="C107" i="4" s="1"/>
  <c r="D107" i="4" s="1"/>
  <c r="C113" i="4"/>
  <c r="D113" i="4" s="1"/>
  <c r="C68" i="4"/>
  <c r="C93" i="4" s="1"/>
  <c r="D93" i="4" s="1"/>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s="1"/>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C221" i="4"/>
  <c r="D221" i="4" s="1"/>
  <c r="C165" i="4"/>
  <c r="D165" i="4" s="1"/>
  <c r="C119" i="4"/>
  <c r="D119" i="4" s="1"/>
  <c r="C125" i="4"/>
  <c r="D125" i="4" s="1"/>
  <c r="D35" i="1"/>
  <c r="C133" i="4" l="1"/>
  <c r="D133" i="4" s="1"/>
  <c r="C139" i="4"/>
  <c r="D139" i="4" s="1"/>
  <c r="C151" i="4"/>
  <c r="D151" i="4" s="1"/>
  <c r="S41" i="5"/>
  <c r="S35" i="5"/>
  <c r="C75" i="4"/>
  <c r="D75" i="4" s="1"/>
  <c r="C177" i="4"/>
  <c r="D177" i="4" s="1"/>
  <c r="C81" i="4"/>
  <c r="D81" i="4" s="1"/>
  <c r="C171" i="4"/>
  <c r="D171" i="4" s="1"/>
  <c r="C69" i="4"/>
  <c r="D69" i="4" s="1"/>
  <c r="C189" i="4"/>
  <c r="D189" i="4" s="1"/>
  <c r="C197" i="4"/>
  <c r="D197" i="4" s="1"/>
  <c r="C101" i="4"/>
  <c r="D101" i="4" s="1"/>
  <c r="D100" i="4" s="1"/>
  <c r="C157" i="4"/>
  <c r="D157" i="4" s="1"/>
  <c r="D132" i="4" s="1"/>
  <c r="C203" i="4"/>
  <c r="D203" i="4" s="1"/>
  <c r="C87" i="4"/>
  <c r="D87" i="4" s="1"/>
  <c r="C209" i="4"/>
  <c r="D209" i="4" s="1"/>
  <c r="S24" i="5"/>
  <c r="S38" i="5"/>
  <c r="R38" i="5"/>
  <c r="S19" i="5"/>
  <c r="S85" i="5"/>
  <c r="R88" i="5" s="1"/>
  <c r="S79" i="5"/>
  <c r="R82" i="5" s="1"/>
  <c r="S94" i="5"/>
  <c r="R97" i="5" s="1"/>
  <c r="S29" i="5"/>
  <c r="R32" i="5" s="1"/>
  <c r="S67" i="5"/>
  <c r="T70" i="5" s="1"/>
  <c r="S89" i="5"/>
  <c r="S50" i="5"/>
  <c r="S71" i="5"/>
  <c r="D164" i="4" l="1"/>
  <c r="D68" i="4"/>
  <c r="D196" i="4"/>
  <c r="T92" i="5"/>
  <c r="Q92" i="5"/>
  <c r="R92" i="5"/>
  <c r="S70" i="5"/>
  <c r="T38" i="5"/>
  <c r="S32" i="5"/>
  <c r="T32" i="5"/>
  <c r="Q32" i="5"/>
  <c r="T97" i="5"/>
  <c r="S97" i="5"/>
  <c r="S92" i="5"/>
  <c r="Q70" i="5"/>
  <c r="Q97" i="5"/>
  <c r="Q38" i="5"/>
  <c r="R70" i="5"/>
  <c r="T88" i="5"/>
  <c r="Q88" i="5"/>
  <c r="S88" i="5"/>
  <c r="R44" i="5"/>
  <c r="Q44" i="5"/>
  <c r="S44" i="5"/>
  <c r="T44" i="5"/>
  <c r="T74" i="5"/>
  <c r="Q74" i="5"/>
  <c r="S74" i="5"/>
  <c r="R74" i="5"/>
  <c r="Q53" i="5"/>
  <c r="R53" i="5"/>
  <c r="T53" i="5"/>
  <c r="S53" i="5"/>
  <c r="T82" i="5"/>
  <c r="S82" i="5"/>
  <c r="Q82" i="5"/>
  <c r="R22" i="5"/>
  <c r="Q22" i="5"/>
  <c r="T22" i="5"/>
  <c r="S22" i="5"/>
  <c r="Q27" i="5"/>
  <c r="T27" i="5"/>
  <c r="S27" i="5"/>
  <c r="R27" i="5"/>
  <c r="S90" i="5" l="1"/>
  <c r="S68" i="5"/>
  <c r="B4" i="2" s="1"/>
  <c r="B18" i="1" s="1"/>
  <c r="S30" i="5"/>
  <c r="S36" i="5"/>
  <c r="S25" i="5"/>
  <c r="S20" i="5"/>
  <c r="S86" i="5"/>
  <c r="S95" i="5"/>
  <c r="S72" i="5"/>
  <c r="S42" i="5"/>
  <c r="S51" i="5"/>
  <c r="S80" i="5"/>
  <c r="A17" i="2" l="1"/>
  <c r="D32" i="1" l="1"/>
  <c r="A30" i="2"/>
  <c r="C37" i="4"/>
  <c r="C56" i="4" s="1"/>
  <c r="D56" i="4" s="1"/>
  <c r="C62" i="4" l="1"/>
  <c r="D62" i="4" s="1"/>
  <c r="C44" i="4"/>
  <c r="D44" i="4" s="1"/>
  <c r="C38" i="4"/>
  <c r="D38" i="4" s="1"/>
  <c r="C50" i="4"/>
  <c r="D50" i="4" s="1"/>
  <c r="D37" i="4" l="1"/>
  <c r="C14" i="2"/>
  <c r="A33" i="1" l="1"/>
  <c r="B30" i="1"/>
</calcChain>
</file>

<file path=xl/sharedStrings.xml><?xml version="1.0" encoding="utf-8"?>
<sst xmlns="http://schemas.openxmlformats.org/spreadsheetml/2006/main" count="836" uniqueCount="313">
  <si>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</si>
  <si>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</si>
  <si>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</si>
  <si>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</si>
  <si>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</si>
  <si>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</si>
  <si>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Widow's Peak:</t>
  </si>
  <si>
    <t>Eye Pattern:</t>
  </si>
  <si>
    <t>Dimples:</t>
  </si>
  <si>
    <t>Nose Pattern:</t>
  </si>
  <si>
    <t>Freckles:</t>
  </si>
  <si>
    <t>Hair Color:</t>
  </si>
  <si>
    <t>Eye Colors:</t>
  </si>
  <si>
    <t>Free Earlobe:</t>
  </si>
  <si>
    <t>Connected Eyebrows:</t>
  </si>
  <si>
    <t>Blood Type:</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</si>
  <si>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</si>
  <si>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</si>
  <si>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</si>
  <si>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</si>
  <si>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</si>
  <si>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</si>
  <si>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</si>
  <si>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</si>
  <si>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</si>
  <si>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Alleged Father - Anonymous</t>
  </si>
  <si>
    <t xml:space="preserve">Report Number: </t>
  </si>
  <si>
    <t>Child - Anonymous</t>
  </si>
  <si>
    <t>TPM</t>
  </si>
  <si>
    <t>AML</t>
  </si>
  <si>
    <t>5 Window's Peak:</t>
  </si>
  <si>
    <t>9 Nose Pattern:</t>
  </si>
  <si>
    <t>5 Freckles:</t>
  </si>
  <si>
    <t>5 Hair Color:</t>
  </si>
  <si>
    <t>5 Eye Color:</t>
  </si>
  <si>
    <t>5 Free Earlobe:</t>
  </si>
  <si>
    <t>5 Connected Eyebrows:</t>
  </si>
  <si>
    <t>9 Blood Type:</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</si>
  <si>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</si>
  <si>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</si>
  <si>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</si>
  <si>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</si>
  <si>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</si>
  <si>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</si>
  <si>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</si>
  <si>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</si>
  <si>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</si>
  <si>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</si>
  <si>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</si>
  <si>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</si>
  <si>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8 Dimples:</t>
  </si>
  <si>
    <t>8 Cleft Chin:</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</si>
  <si>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</si>
  <si>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</si>
  <si>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</si>
  <si>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</si>
  <si>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</si>
  <si>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</si>
  <si>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</si>
  <si>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</si>
  <si>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</si>
  <si>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</si>
  <si>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</si>
  <si>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</si>
  <si>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</si>
  <si>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</si>
  <si>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</si>
  <si>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</si>
  <si>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</si>
  <si>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</si>
  <si>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</si>
  <si>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</si>
  <si>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</si>
  <si>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</si>
  <si>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</si>
  <si>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</si>
  <si>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</si>
  <si>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</si>
  <si>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</si>
  <si>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</si>
  <si>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</si>
  <si>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</si>
  <si>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</si>
  <si>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</si>
  <si>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</si>
  <si>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</si>
  <si>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</si>
  <si>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</si>
  <si>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</si>
  <si>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</si>
  <si>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</si>
  <si>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</si>
  <si>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</si>
  <si>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</si>
  <si>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</si>
  <si>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</si>
  <si>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</si>
  <si>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</si>
  <si>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</si>
  <si>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</si>
  <si>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</si>
  <si>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</si>
  <si>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</si>
  <si>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</si>
  <si>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</si>
  <si>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</si>
  <si>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</si>
  <si>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</si>
  <si>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1-3 difference=9</t>
  </si>
  <si>
    <t>6-7 difference=2</t>
  </si>
  <si>
    <t>7 or more=0</t>
  </si>
  <si>
    <t>1-2 difference=9</t>
  </si>
  <si>
    <t>3-4 difference=7</t>
  </si>
  <si>
    <t>5-6 difference=2</t>
  </si>
  <si>
    <t>6=2</t>
  </si>
  <si>
    <t>6 or more =0</t>
  </si>
  <si>
    <t>Compare this middle # to other persons middle #</t>
  </si>
  <si>
    <t>Total from the middle # comparison</t>
  </si>
  <si>
    <t>180-160=9</t>
  </si>
  <si>
    <t>159-150=8</t>
  </si>
  <si>
    <t>149-139=7</t>
  </si>
  <si>
    <t>138-50=2</t>
  </si>
  <si>
    <t>Left Brow</t>
  </si>
  <si>
    <t>8 or more=0</t>
  </si>
  <si>
    <t>6 or lower =0</t>
  </si>
  <si>
    <t>Total from G-J</t>
  </si>
  <si>
    <t>Range</t>
  </si>
  <si>
    <t>45-40=9</t>
  </si>
  <si>
    <t>39-30=7</t>
  </si>
  <si>
    <t>29-10=2</t>
  </si>
  <si>
    <t>9-0=0</t>
  </si>
  <si>
    <t>13 or more =9</t>
  </si>
  <si>
    <t>14 or more =9</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</si>
  <si>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</si>
  <si>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</si>
  <si>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</si>
  <si>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</si>
  <si>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</si>
  <si>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</si>
  <si>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</si>
  <si>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</si>
  <si>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</si>
  <si>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</si>
  <si>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</si>
  <si>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</si>
  <si>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</si>
  <si>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</si>
  <si>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</si>
  <si>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</si>
  <si>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</si>
  <si>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</si>
  <si>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</si>
  <si>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</si>
  <si>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</si>
  <si>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</si>
  <si>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</si>
  <si>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</si>
  <si>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</si>
  <si>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</si>
  <si>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</si>
  <si>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</si>
  <si>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</si>
  <si>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</si>
  <si>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</si>
  <si>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</si>
  <si>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</si>
  <si>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</si>
  <si>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</si>
  <si>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</si>
  <si>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</si>
  <si>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</si>
  <si>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</si>
  <si>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</si>
  <si>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</si>
  <si>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</si>
  <si>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</si>
  <si>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</si>
  <si>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</si>
  <si>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</si>
  <si>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</si>
  <si>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</si>
  <si>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</si>
  <si>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</si>
  <si>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</si>
  <si>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</si>
  <si>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</si>
  <si>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</si>
  <si>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</si>
  <si>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</si>
  <si>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</si>
  <si>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</si>
  <si>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</si>
  <si>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</si>
  <si>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</si>
  <si>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</si>
  <si>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</si>
  <si>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</si>
  <si>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</si>
  <si>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</si>
  <si>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</si>
  <si>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</si>
  <si>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</si>
  <si>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</si>
  <si>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</si>
  <si>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</si>
  <si>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</si>
  <si>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</si>
  <si>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</si>
  <si>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</si>
  <si>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</si>
  <si>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</si>
  <si>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</si>
  <si>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</si>
  <si>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</si>
  <si>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</si>
  <si>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</si>
  <si>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</si>
  <si>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</si>
  <si>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</si>
  <si>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</si>
  <si>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</si>
  <si>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</si>
  <si>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</si>
  <si>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</si>
  <si>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</si>
  <si>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</si>
  <si>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</si>
  <si>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</si>
  <si>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</si>
  <si>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</si>
  <si>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</si>
  <si>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</si>
  <si>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</si>
  <si>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</si>
  <si>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</si>
  <si>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</si>
  <si>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</si>
  <si>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</si>
  <si>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</si>
  <si>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</si>
  <si>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</si>
  <si>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</si>
  <si>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</si>
  <si>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</si>
  <si>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</si>
  <si>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</si>
  <si>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</si>
  <si>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</si>
  <si>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</si>
  <si>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</si>
  <si>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</si>
  <si>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</si>
  <si>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</si>
  <si>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</si>
  <si>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</si>
  <si>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</si>
  <si>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</si>
  <si>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</si>
  <si>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</si>
  <si>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</si>
  <si>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</si>
  <si>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36-29=9</t>
  </si>
  <si>
    <t>28-21=7</t>
  </si>
  <si>
    <t>20-16=2</t>
  </si>
  <si>
    <t>15-0=0</t>
  </si>
  <si>
    <t>Mouth</t>
  </si>
  <si>
    <t>72-60-=9</t>
  </si>
  <si>
    <t>59-40=7</t>
  </si>
  <si>
    <t>39-17=2</t>
  </si>
  <si>
    <t>16-0=0</t>
  </si>
  <si>
    <t>54-45=9</t>
  </si>
  <si>
    <t>44-29-7</t>
  </si>
  <si>
    <t>28-12=2</t>
  </si>
  <si>
    <t>36-30=9</t>
  </si>
  <si>
    <t>29-22=7</t>
  </si>
  <si>
    <t>21-10=2</t>
  </si>
  <si>
    <t>Chin</t>
  </si>
  <si>
    <t xml:space="preserve">Face </t>
  </si>
  <si>
    <t>Ears</t>
  </si>
  <si>
    <t>Cheek</t>
  </si>
  <si>
    <t>Head</t>
  </si>
  <si>
    <t>Report Type</t>
  </si>
  <si>
    <t>Basic</t>
  </si>
  <si>
    <t>55 Total Possible* Pro Only</t>
  </si>
  <si>
    <t>Pro</t>
  </si>
  <si>
    <t>Skin Min</t>
  </si>
  <si>
    <t>Skin max</t>
  </si>
  <si>
    <t>Total  Basic Inputs</t>
  </si>
  <si>
    <t>Total Pro Inputs</t>
  </si>
  <si>
    <t>Only Available In Pro Version</t>
  </si>
  <si>
    <t>NOT EVALUATED</t>
  </si>
  <si>
    <t>Total</t>
  </si>
  <si>
    <t>9 Facial Pattern:</t>
  </si>
  <si>
    <t>18 Eye Pattern:</t>
  </si>
  <si>
    <t>36 Total Possilbe Match</t>
  </si>
  <si>
    <t>Thank you for using the Value Package of Electronic DNA Facial Point Connectivity “EDFPC”.</t>
  </si>
  <si>
    <t>7 Ear Pattern:</t>
  </si>
  <si>
    <t>9 Lip Pattern:</t>
  </si>
  <si>
    <t>9 Mouth Pattern:</t>
  </si>
  <si>
    <t>9 Cheek Pattern:</t>
  </si>
  <si>
    <t>7 Head Pattern:</t>
  </si>
  <si>
    <t>9 Chin Pattern:</t>
  </si>
  <si>
    <t>13 Skin Pattern:</t>
  </si>
  <si>
    <t>Only Available In Basic Version or Higher</t>
  </si>
  <si>
    <t>Ear Pattern:</t>
  </si>
  <si>
    <t>Lip Pattern:</t>
  </si>
  <si>
    <t>Mouth Pattern:</t>
  </si>
  <si>
    <t>Cheek Pattern:</t>
  </si>
  <si>
    <t>Head Pattern:</t>
  </si>
  <si>
    <t>Chin Pattern:</t>
  </si>
  <si>
    <t>Skin Pattern:</t>
  </si>
  <si>
    <t>Eyebrow Pattern:</t>
  </si>
  <si>
    <t>18 Eyebrow Pattern: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</si>
</sst>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4">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scheme val="minor"/>
    </font>
    <font>
      <b/>
      <sz val="12"/>
      <color theme="1"/>
      <name val="Calibri"/>
      <family val="2"/>
      <scheme val="minor"/>
    </font>
    <font>
      <b/>
      <sz val="8"/>
      <color theme="1"/>
      <name val="Arial"/>
      <family val="2"/>
    </font>
    <font>
      <b/>
      <sz val="9"/>
      <color theme="1"/>
      <name val="Arial"/>
      <family val="2"/>
    </font>
    <font>
      <b/>
      <sz val="18"/>
      <color theme="1"/>
      <name val="Arial"/>
      <family val="2"/>
    </font>
    <font>
      <b/>
      <sz val="10"/>
      <color rgb="FF000000"/>
      <name val="Arial"/>
      <family val="2"/>
    </font>
    <font>
      <sz val="10"/>
      <color rgb="FF000000"/>
      <name val="Arial"/>
      <family val="2"/>
    </font>
  </fonts>
  <fills count="10">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BDD7EE"/>
        <bgColor rgb="FF000000"/>
      </patternFill>
    </fill>
  </fills>
  <borders count="4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5">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6" fillId="0" borderId="0" xfId="4"/>
    <xf numFmtId="0" fontId="37"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7" fillId="0" borderId="0" xfId="4" applyFont="1" applyFill="1" applyAlignment="1">
      <alignment horizontal="center" wrapText="1"/>
    </xf>
    <xf numFmtId="0" fontId="1" fillId="3" borderId="26" xfId="0" applyFont="1" applyFill="1" applyBorder="1"/>
    <xf numFmtId="0" fontId="38"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39" fillId="0" borderId="27" xfId="0" applyFont="1" applyFill="1" applyBorder="1" applyAlignment="1">
      <alignment horizontal="center" vertical="center" wrapText="1"/>
    </xf>
    <xf numFmtId="0" fontId="39" fillId="0" borderId="28"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7" fillId="0" borderId="0" xfId="4" applyFont="1" applyBorder="1"/>
    <xf numFmtId="0" fontId="37" fillId="0" borderId="31" xfId="4" applyFont="1" applyBorder="1"/>
    <xf numFmtId="0" fontId="38" fillId="3" borderId="24" xfId="4" applyFont="1" applyFill="1" applyBorder="1" applyAlignment="1">
      <alignment horizontal="center"/>
    </xf>
    <xf numFmtId="0" fontId="38" fillId="3" borderId="18" xfId="4" applyFont="1" applyFill="1" applyBorder="1" applyAlignment="1">
      <alignment horizontal="center"/>
    </xf>
    <xf numFmtId="0" fontId="1" fillId="3" borderId="32" xfId="0" applyFont="1" applyFill="1" applyBorder="1"/>
    <xf numFmtId="0" fontId="1" fillId="7" borderId="29" xfId="0" applyFont="1" applyFill="1" applyBorder="1"/>
    <xf numFmtId="0" fontId="0" fillId="7" borderId="30" xfId="0" applyFill="1" applyBorder="1" applyAlignment="1">
      <alignment horizontal="center"/>
    </xf>
    <xf numFmtId="0" fontId="0" fillId="0" borderId="33" xfId="0" applyBorder="1" applyAlignment="1">
      <alignment horizontal="center"/>
    </xf>
    <xf numFmtId="0" fontId="36" fillId="5" borderId="34" xfId="4" applyNumberFormat="1" applyFill="1" applyBorder="1" applyAlignment="1">
      <alignment horizontal="center"/>
    </xf>
    <xf numFmtId="0" fontId="0" fillId="0" borderId="34" xfId="0" applyNumberFormat="1" applyBorder="1" applyAlignment="1">
      <alignment horizontal="center"/>
    </xf>
    <xf numFmtId="0" fontId="0" fillId="6" borderId="34" xfId="0" applyNumberFormat="1" applyFill="1" applyBorder="1" applyAlignment="1">
      <alignment horizontal="center"/>
    </xf>
    <xf numFmtId="0" fontId="0" fillId="0" borderId="34" xfId="0" applyNumberFormat="1" applyFill="1" applyBorder="1" applyAlignment="1">
      <alignment horizontal="center"/>
    </xf>
    <xf numFmtId="0" fontId="38" fillId="3" borderId="36" xfId="4" applyFont="1" applyFill="1" applyBorder="1" applyAlignment="1">
      <alignment horizontal="center"/>
    </xf>
    <xf numFmtId="0" fontId="1" fillId="7" borderId="25" xfId="0" applyFont="1" applyFill="1" applyBorder="1"/>
    <xf numFmtId="0" fontId="0" fillId="7" borderId="31" xfId="0" applyFill="1" applyBorder="1" applyAlignment="1">
      <alignment horizontal="center"/>
    </xf>
    <xf numFmtId="0" fontId="1" fillId="7" borderId="37" xfId="0" applyFont="1" applyFill="1" applyBorder="1"/>
    <xf numFmtId="0" fontId="0" fillId="7" borderId="37" xfId="0" applyFill="1" applyBorder="1"/>
    <xf numFmtId="0" fontId="0" fillId="7" borderId="0" xfId="0" applyFill="1" applyBorder="1"/>
    <xf numFmtId="0" fontId="0" fillId="0" borderId="37" xfId="0" applyBorder="1" applyAlignment="1">
      <alignment horizontal="center"/>
    </xf>
    <xf numFmtId="0" fontId="36" fillId="5" borderId="39" xfId="4" applyNumberFormat="1" applyFill="1" applyBorder="1" applyAlignment="1">
      <alignment horizontal="center"/>
    </xf>
    <xf numFmtId="0" fontId="0" fillId="0" borderId="39" xfId="0" applyNumberFormat="1" applyBorder="1" applyAlignment="1">
      <alignment horizontal="center"/>
    </xf>
    <xf numFmtId="0" fontId="0" fillId="6" borderId="39" xfId="0" applyNumberFormat="1" applyFill="1" applyBorder="1" applyAlignment="1">
      <alignment horizontal="center"/>
    </xf>
    <xf numFmtId="0" fontId="0" fillId="0" borderId="39"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1" fillId="5" borderId="38" xfId="0" applyFont="1" applyFill="1" applyBorder="1" applyAlignment="1">
      <alignment horizontal="center"/>
    </xf>
    <xf numFmtId="0" fontId="1" fillId="0" borderId="38" xfId="0" applyFont="1" applyBorder="1" applyAlignment="1">
      <alignment horizontal="center"/>
    </xf>
    <xf numFmtId="0" fontId="0" fillId="0" borderId="22" xfId="0" applyBorder="1" applyAlignment="1">
      <alignment horizontal="center"/>
    </xf>
    <xf numFmtId="0" fontId="0" fillId="0" borderId="43" xfId="0" applyBorder="1" applyAlignment="1">
      <alignment horizontal="center"/>
    </xf>
    <xf numFmtId="0" fontId="0" fillId="5" borderId="0" xfId="0" applyFill="1" applyAlignment="1">
      <alignment horizontal="center"/>
    </xf>
    <xf numFmtId="0" fontId="0" fillId="0" borderId="0" xfId="0" applyAlignment="1">
      <alignment horizontal="center"/>
    </xf>
    <xf numFmtId="0" fontId="37" fillId="0" borderId="0" xfId="4" applyFont="1" applyBorder="1" applyAlignment="1">
      <alignment horizontal="center"/>
    </xf>
    <xf numFmtId="0" fontId="37" fillId="0" borderId="31" xfId="4" applyFont="1" applyBorder="1" applyAlignment="1">
      <alignment horizontal="center"/>
    </xf>
    <xf numFmtId="0" fontId="1" fillId="6" borderId="38" xfId="0" applyFont="1" applyFill="1" applyBorder="1" applyAlignment="1">
      <alignment horizontal="center"/>
    </xf>
    <xf numFmtId="0" fontId="0" fillId="6" borderId="22" xfId="0" applyFill="1" applyBorder="1" applyAlignment="1">
      <alignment horizontal="center"/>
    </xf>
    <xf numFmtId="0" fontId="0" fillId="6" borderId="43" xfId="0" applyFill="1" applyBorder="1" applyAlignment="1">
      <alignment horizontal="center"/>
    </xf>
    <xf numFmtId="0" fontId="0" fillId="6" borderId="0" xfId="0" applyFill="1" applyAlignment="1">
      <alignment horizontal="center"/>
    </xf>
    <xf numFmtId="0" fontId="0" fillId="6" borderId="39" xfId="0" applyFill="1" applyBorder="1" applyAlignment="1">
      <alignment horizontal="center"/>
    </xf>
    <xf numFmtId="0" fontId="0" fillId="6" borderId="34" xfId="0" applyFill="1" applyBorder="1" applyAlignment="1">
      <alignment horizontal="center"/>
    </xf>
    <xf numFmtId="0" fontId="0" fillId="6" borderId="40" xfId="0" applyFill="1" applyBorder="1" applyAlignment="1">
      <alignment horizontal="center"/>
    </xf>
    <xf numFmtId="0" fontId="0" fillId="6" borderId="41" xfId="0" applyFill="1" applyBorder="1" applyAlignment="1">
      <alignment horizontal="center"/>
    </xf>
    <xf numFmtId="0" fontId="0" fillId="6" borderId="35" xfId="0" applyFill="1" applyBorder="1" applyAlignment="1">
      <alignment horizontal="center"/>
    </xf>
    <xf numFmtId="0" fontId="0" fillId="6" borderId="42" xfId="0" applyFill="1" applyBorder="1" applyAlignment="1">
      <alignment horizontal="center"/>
    </xf>
    <xf numFmtId="0" fontId="0" fillId="6" borderId="44" xfId="0" applyFill="1" applyBorder="1" applyAlignment="1">
      <alignment horizontal="center"/>
    </xf>
    <xf numFmtId="0" fontId="0" fillId="5" borderId="13" xfId="0" applyFill="1" applyBorder="1" applyAlignment="1">
      <alignment horizontal="center"/>
    </xf>
    <xf numFmtId="0" fontId="1" fillId="0" borderId="38" xfId="0" applyFont="1" applyFill="1" applyBorder="1" applyAlignment="1">
      <alignment horizontal="center"/>
    </xf>
    <xf numFmtId="0" fontId="0" fillId="0" borderId="22" xfId="0" applyFill="1" applyBorder="1" applyAlignment="1">
      <alignment horizontal="center"/>
    </xf>
    <xf numFmtId="0" fontId="0" fillId="0" borderId="43" xfId="0" applyFill="1" applyBorder="1" applyAlignment="1">
      <alignment horizontal="center"/>
    </xf>
    <xf numFmtId="0" fontId="0" fillId="5" borderId="39" xfId="0" applyFill="1" applyBorder="1" applyAlignment="1">
      <alignment horizontal="center"/>
    </xf>
    <xf numFmtId="0" fontId="0" fillId="0" borderId="39" xfId="0" applyBorder="1" applyAlignment="1">
      <alignment horizontal="center"/>
    </xf>
    <xf numFmtId="0" fontId="0" fillId="5" borderId="34" xfId="0" applyFill="1" applyBorder="1" applyAlignment="1">
      <alignment horizontal="center"/>
    </xf>
    <xf numFmtId="0" fontId="0" fillId="0" borderId="34" xfId="0" applyBorder="1" applyAlignment="1">
      <alignment horizontal="center"/>
    </xf>
    <xf numFmtId="0" fontId="0" fillId="5" borderId="22" xfId="0" applyFill="1" applyBorder="1" applyAlignment="1">
      <alignment horizontal="center"/>
    </xf>
    <xf numFmtId="0" fontId="0" fillId="5" borderId="43" xfId="0" applyFill="1" applyBorder="1" applyAlignment="1">
      <alignment horizontal="center"/>
    </xf>
    <xf numFmtId="0" fontId="0" fillId="0" borderId="2" xfId="0" applyBorder="1"/>
    <xf numFmtId="0" fontId="40" fillId="8" borderId="28" xfId="0" applyFont="1" applyFill="1" applyBorder="1" applyAlignment="1">
      <alignment horizontal="center" vertical="center" wrapText="1"/>
    </xf>
    <xf numFmtId="0" fontId="4" fillId="0" borderId="6" xfId="0" applyFont="1" applyBorder="1" applyAlignment="1">
      <alignment horizontal="right" vertical="center" wrapText="1" indent="1"/>
    </xf>
    <xf numFmtId="0" fontId="42" fillId="0" borderId="4" xfId="0" applyFont="1" applyBorder="1" applyAlignment="1">
      <alignment horizontal="left" vertical="center" wrapText="1"/>
    </xf>
    <xf numFmtId="0" fontId="42" fillId="9" borderId="0" xfId="0" applyFont="1" applyFill="1" applyAlignment="1">
      <alignment horizontal="center" vertical="center" wrapText="1"/>
    </xf>
    <xf numFmtId="9" fontId="43" fillId="0" borderId="0" xfId="0" applyNumberFormat="1" applyFont="1" applyAlignment="1">
      <alignment horizontal="left" vertical="center"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right"/>
    </xf>
    <xf numFmtId="0" fontId="0" fillId="0" borderId="0" xfId="0" applyAlignment="1">
      <alignment horizontal="right" wrapText="1"/>
    </xf>
    <xf numFmtId="0" fontId="3" fillId="0" borderId="0" xfId="1"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41" fillId="7" borderId="3" xfId="0" applyFont="1" applyFill="1" applyBorder="1" applyAlignment="1">
      <alignment horizontal="center" vertical="center" textRotation="90" wrapText="1"/>
    </xf>
    <xf numFmtId="0" fontId="41" fillId="7" borderId="5" xfId="0" applyFont="1" applyFill="1" applyBorder="1" applyAlignment="1">
      <alignment horizontal="center" vertical="center" textRotation="90" wrapText="1"/>
    </xf>
    <xf numFmtId="0" fontId="0" fillId="0" borderId="6" xfId="0" applyFont="1" applyBorder="1" applyAlignment="1" applyProtection="1">
      <alignment horizontal="center"/>
      <protection hidden="1"/>
    </xf>
    <xf numFmtId="0" fontId="0" fillId="0" borderId="8" xfId="0" applyFont="1" applyBorder="1" applyAlignment="1" applyProtection="1">
      <alignment horizontal="center"/>
      <protection hidden="1"/>
    </xf>
    <xf numFmtId="0" fontId="1" fillId="7" borderId="13" xfId="0" applyFont="1" applyFill="1" applyBorder="1" applyAlignment="1">
      <alignment horizontal="center"/>
    </xf>
    <xf numFmtId="0" fontId="37" fillId="0" borderId="0" xfId="4" applyFont="1" applyBorder="1" applyAlignment="1">
      <alignment horizontal="center" wrapText="1"/>
    </xf>
    <xf numFmtId="0" fontId="37" fillId="0" borderId="24" xfId="4" applyFont="1" applyBorder="1" applyAlignment="1">
      <alignment horizontal="center" wrapText="1"/>
    </xf>
    <xf numFmtId="0" fontId="37" fillId="0" borderId="0" xfId="4" applyFont="1" applyAlignment="1">
      <alignment horizontal="center" wrapText="1"/>
    </xf>
    <xf numFmtId="0" fontId="37"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6" fillId="4" borderId="5" xfId="0" applyFont="1" applyFill="1" applyBorder="1" applyAlignment="1">
      <alignment horizontal="center" vertical="center" textRotation="90" wrapText="1"/>
    </xf>
    <xf numFmtId="0" fontId="0" fillId="0" borderId="8" xfId="0" applyBorder="1" applyAlignment="1">
      <alignment horizontal="left" vertical="center"/>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tabSelected="1" workbookViewId="0">
      <selection activeCell="B18" sqref="B18"/>
    </sheetView>
  </sheetViews>
  <sheetFormatPr defaultColWidth="0" defaultRowHeight="18" zeroHeight="1"/>
  <cols>
    <col min="1" max="2" width="20.28515625" style="1" customWidth="1"/>
    <col min="3" max="3" width="20.28515625" customWidth="1"/>
    <col min="4" max="4" width="20.140625" customWidth="1"/>
    <col min="5" max="5" width="3.7109375" style="1" customWidth="1"/>
    <col min="6" max="16384" width="8.7109375" style="1" hidden="1"/>
  </cols>
  <sheetData>
    <row r="1" spans="1:4" ht="14.1" customHeight="1">
      <c r="C1" s="200" t="s">
        <v>41</v>
      </c>
      <c r="D1" s="200"/>
    </row>
    <row r="2" spans="1:4" ht="14.1" customHeight="1">
      <c r="C2" s="201" t="s">
        <v>43</v>
      </c>
      <c r="D2" s="200"/>
    </row>
    <row r="3" spans="1:4" ht="14.1" customHeight="1">
      <c r="C3" s="200" t="s">
        <v>42</v>
      </c>
      <c r="D3" s="200"/>
    </row>
    <row r="4" spans="1:4" ht="14.1" customHeight="1">
      <c r="C4" s="200" t="s">
        <v>48</v>
      </c>
      <c r="D4" s="200"/>
    </row>
    <row r="5" spans="1:4" ht="14.1" customHeight="1">
      <c r="C5" s="202" t="s">
        <v>49</v>
      </c>
      <c r="D5" s="200"/>
    </row>
    <row r="6" spans="1:4" ht="14.1" customHeight="1">
      <c r="C6" s="202" t="s">
        <v>44</v>
      </c>
      <c r="D6" s="200"/>
    </row>
    <row r="7" spans="1:4" ht="14.1" customHeight="1"/>
    <row r="8" spans="1:4" ht="4.3499999999999996" customHeight="1"/>
    <row r="9" spans="1:4" ht="11.1" customHeight="1">
      <c r="A9" s="207" t="s">
        <v>295</v>
      </c>
      <c r="B9" s="208"/>
      <c r="C9" s="208"/>
      <c r="D9" s="208"/>
    </row>
    <row r="10" spans="1:4" ht="4.3499999999999996" customHeight="1"/>
    <row r="11" spans="1:4">
      <c r="A11" s="209" t="s">
        <v>0</v>
      </c>
      <c r="B11" s="210"/>
      <c r="C11" s="210"/>
      <c r="D11" s="210"/>
    </row>
    <row r="12" spans="1:4">
      <c r="A12" s="210"/>
      <c r="B12" s="210"/>
      <c r="C12" s="210"/>
      <c r="D12" s="210"/>
    </row>
    <row r="13" spans="1:4" ht="7.35" customHeight="1">
      <c r="A13" s="210"/>
      <c r="B13" s="210"/>
      <c r="C13" s="210"/>
      <c r="D13" s="210"/>
    </row>
    <row r="14" spans="1:4" ht="9" customHeight="1"/>
    <row r="15" spans="1:4" ht="14.1" customHeight="1">
      <c r="A15" s="3" t="s">
        <v>1</v>
      </c>
      <c r="B15" s="26"/>
    </row>
    <row r="16" spans="1:4" ht="14.1" customHeight="1">
      <c r="A16" s="211" t="s">
        <v>2</v>
      </c>
      <c r="B16" s="212"/>
      <c r="C16" s="213" t="s">
        <v>3</v>
      </c>
      <c r="D16" s="214"/>
    </row>
    <row r="17" spans="1:4" ht="6.75" customHeight="1">
      <c r="A17" s="14"/>
      <c r="B17" s="15"/>
      <c r="C17" s="10"/>
      <c r="D17" s="11"/>
    </row>
    <row r="18" spans="1:4" ht="14.1" customHeight="1">
      <c r="A18" s="16" t="s">
        <v>4</v>
      </c>
      <c r="B18" s="27" t="str">
        <f>ROUND('Edit This Sheet'!B4/9*100,2)&amp;"%"&amp;" "&amp;"Match"</f>
        <v>100% Match</v>
      </c>
      <c r="C18" s="12" t="s">
        <v>5</v>
      </c>
      <c r="D18" s="6" t="s">
        <v>290</v>
      </c>
    </row>
    <row r="19" spans="1:4" ht="14.1" customHeight="1">
      <c r="A19" s="191" t="s">
        <v>7</v>
      </c>
      <c r="B19" s="193" t="str">
        <f>ROUND('Edit This Sheet'!B5/18*100,2)&amp;"%"&amp;" "&amp;"Match"</f>
        <v>100% Match</v>
      </c>
      <c r="C19" s="12" t="s">
        <v>6</v>
      </c>
      <c r="D19" s="6" t="s">
        <v>290</v>
      </c>
    </row>
    <row r="20" spans="1:4" ht="14.1" customHeight="1">
      <c r="A20" s="191" t="s">
        <v>9</v>
      </c>
      <c r="B20" s="193" t="str">
        <f>ROUND('Edit This Sheet'!B6/9*100,2)&amp;"%"&amp;" "&amp;"Match"</f>
        <v>100% Match</v>
      </c>
      <c r="C20" s="12" t="s">
        <v>8</v>
      </c>
      <c r="D20" s="6" t="s">
        <v>290</v>
      </c>
    </row>
    <row r="21" spans="1:4" ht="14.1" customHeight="1">
      <c r="A21" s="16" t="s">
        <v>311</v>
      </c>
      <c r="B21" s="6" t="s">
        <v>290</v>
      </c>
      <c r="C21" s="12" t="s">
        <v>10</v>
      </c>
      <c r="D21" s="6" t="s">
        <v>290</v>
      </c>
    </row>
    <row r="22" spans="1:4" ht="14.1" customHeight="1">
      <c r="A22" s="16" t="s">
        <v>304</v>
      </c>
      <c r="B22" s="6" t="s">
        <v>290</v>
      </c>
      <c r="C22" s="12" t="s">
        <v>11</v>
      </c>
      <c r="D22" s="6" t="s">
        <v>290</v>
      </c>
    </row>
    <row r="23" spans="1:4" ht="14.1" customHeight="1">
      <c r="A23" s="16" t="s">
        <v>305</v>
      </c>
      <c r="B23" s="6" t="s">
        <v>290</v>
      </c>
      <c r="C23" s="12" t="s">
        <v>12</v>
      </c>
      <c r="D23" s="6" t="s">
        <v>290</v>
      </c>
    </row>
    <row r="24" spans="1:4" ht="14.1" customHeight="1">
      <c r="A24" s="16" t="s">
        <v>306</v>
      </c>
      <c r="B24" s="6" t="s">
        <v>290</v>
      </c>
      <c r="C24" s="12" t="s">
        <v>13</v>
      </c>
      <c r="D24" s="6" t="s">
        <v>290</v>
      </c>
    </row>
    <row r="25" spans="1:4" ht="14.1" customHeight="1">
      <c r="A25" s="16" t="s">
        <v>307</v>
      </c>
      <c r="B25" s="6" t="s">
        <v>290</v>
      </c>
      <c r="C25" s="12" t="s">
        <v>14</v>
      </c>
      <c r="D25" s="6" t="s">
        <v>290</v>
      </c>
    </row>
    <row r="26" spans="1:4" ht="14.1" customHeight="1">
      <c r="A26" s="16" t="s">
        <v>308</v>
      </c>
      <c r="B26" s="6" t="s">
        <v>290</v>
      </c>
      <c r="C26" s="12" t="s">
        <v>15</v>
      </c>
      <c r="D26" s="6" t="s">
        <v>290</v>
      </c>
    </row>
    <row r="27" spans="1:4" ht="14.1" customHeight="1">
      <c r="A27" s="16" t="s">
        <v>309</v>
      </c>
      <c r="B27" s="6" t="s">
        <v>290</v>
      </c>
      <c r="C27" s="8"/>
      <c r="D27" s="11"/>
    </row>
    <row r="28" spans="1:4" ht="14.1" customHeight="1">
      <c r="A28" s="17" t="s">
        <v>310</v>
      </c>
      <c r="B28" s="244" t="s">
        <v>290</v>
      </c>
      <c r="C28" s="9"/>
      <c r="D28" s="13"/>
    </row>
    <row r="29" spans="1:4" ht="12" customHeight="1">
      <c r="A29" s="2"/>
    </row>
    <row r="30" spans="1:4" ht="17.100000000000001" customHeight="1">
      <c r="A30" s="19" t="s">
        <v>16</v>
      </c>
      <c r="B30" s="194">
        <f>D32</f>
        <v>1</v>
      </c>
      <c r="C30" s="195"/>
      <c r="D30" s="18" t="s">
        <v>17</v>
      </c>
    </row>
    <row r="31" spans="1:4" s="24" customFormat="1" ht="11.25" customHeight="1">
      <c r="A31" s="20"/>
      <c r="B31" s="21"/>
      <c r="C31" s="22"/>
      <c r="D31" s="23"/>
    </row>
    <row r="32" spans="1:4" ht="17.100000000000001" customHeight="1">
      <c r="A32" s="205" t="s">
        <v>18</v>
      </c>
      <c r="B32" s="206"/>
      <c r="C32" s="206"/>
      <c r="D32" s="7">
        <f>(('Edit This Sheet'!A17)/Inputs!L16)</f>
        <v>1</v>
      </c>
    </row>
    <row r="33" spans="1:5">
      <c r="A33" s="203" t="str">
        <f>IF(D32&gt;0.5,"Your percentage is over 50%, therefore this report suggests that the participants may 
SHARE RELATIONSHIP.","Your percentage is under 50%, therefore this report suggests that the participants may 
NOT SHARE RELATIONSHIP.")</f>
        <v>Your percentage is over 50%, therefore this report suggests that the participants may 
SHARE RELATIONSHIP.</v>
      </c>
      <c r="B33" s="204"/>
      <c r="C33" s="204"/>
      <c r="D33" s="204"/>
    </row>
    <row r="34" spans="1:5" ht="12" customHeight="1">
      <c r="A34" s="204"/>
      <c r="B34" s="204"/>
      <c r="C34" s="204"/>
      <c r="D34" s="204"/>
    </row>
    <row r="35" spans="1:5">
      <c r="A35" s="25" t="s">
        <v>19</v>
      </c>
      <c r="B35" s="4" t="str">
        <f ca="1">'Edit This Sheet'!D1</f>
        <v>Value201908301910</v>
      </c>
      <c r="C35" s="25" t="s">
        <v>20</v>
      </c>
      <c r="D35" s="28">
        <f ca="1">TODAY()</f>
        <v>43707</v>
      </c>
      <c r="E35" s="29"/>
    </row>
    <row r="36" spans="1:5" ht="7.35" customHeight="1"/>
    <row r="37" spans="1:5">
      <c r="A37" s="196" t="s">
        <v>21</v>
      </c>
      <c r="B37" s="197"/>
    </row>
    <row r="38" spans="1:5" ht="18" customHeight="1">
      <c r="A38" s="198" t="s">
        <v>22</v>
      </c>
      <c r="B38" s="199"/>
      <c r="C38" s="199"/>
      <c r="D38" s="199"/>
    </row>
    <row r="39" spans="1:5">
      <c r="A39" s="199"/>
      <c r="B39" s="199"/>
      <c r="C39" s="199"/>
      <c r="D39" s="199"/>
    </row>
    <row r="40" spans="1:5">
      <c r="A40" s="199"/>
      <c r="B40" s="199"/>
      <c r="C40" s="199"/>
      <c r="D40" s="199"/>
    </row>
    <row r="41" spans="1:5" ht="48" customHeight="1">
      <c r="A41" s="199"/>
      <c r="B41" s="199"/>
      <c r="C41" s="199"/>
      <c r="D41" s="199"/>
    </row>
    <row r="42" spans="1:5" ht="6" customHeight="1">
      <c r="A42" s="38"/>
      <c r="B42" s="38"/>
      <c r="C42" s="38"/>
      <c r="D42" s="38"/>
    </row>
    <row r="43" spans="1:5">
      <c r="A43" s="196" t="s">
        <v>23</v>
      </c>
      <c r="B43" s="197"/>
    </row>
    <row r="44" spans="1:5">
      <c r="A44" s="198" t="s">
        <v>24</v>
      </c>
      <c r="B44" s="199"/>
      <c r="C44" s="199"/>
      <c r="D44" s="199"/>
    </row>
    <row r="45" spans="1:5">
      <c r="A45" s="199"/>
      <c r="B45" s="199"/>
      <c r="C45" s="199"/>
      <c r="D45" s="199"/>
    </row>
    <row r="46" spans="1:5" ht="39.950000000000003" customHeight="1">
      <c r="A46" s="199"/>
      <c r="B46" s="199"/>
      <c r="C46" s="199"/>
      <c r="D46" s="199"/>
    </row>
    <row r="47" spans="1:5" hidden="1">
      <c r="A47" s="199"/>
      <c r="B47" s="199"/>
      <c r="C47" s="199"/>
      <c r="D47" s="199"/>
    </row>
  </sheetData>
  <mergeCells count="17">
    <mergeCell ref="C6:D6"/>
    <mergeCell ref="A33:D34"/>
    <mergeCell ref="A32:C32"/>
    <mergeCell ref="A9:D9"/>
    <mergeCell ref="A11:D13"/>
    <mergeCell ref="A16:B16"/>
    <mergeCell ref="C16:D16"/>
    <mergeCell ref="C1:D1"/>
    <mergeCell ref="C2:D2"/>
    <mergeCell ref="C3:D3"/>
    <mergeCell ref="C4:D4"/>
    <mergeCell ref="C5:D5"/>
    <mergeCell ref="B30:C30"/>
    <mergeCell ref="A43:B43"/>
    <mergeCell ref="A44:D47"/>
    <mergeCell ref="A38:D41"/>
    <mergeCell ref="A37:B37"/>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M51"/>
  <sheetViews>
    <sheetView zoomScale="125" zoomScaleNormal="75" workbookViewId="0">
      <selection activeCell="B5" sqref="B5"/>
    </sheetView>
  </sheetViews>
  <sheetFormatPr defaultColWidth="0" defaultRowHeight="18" zeroHeight="1"/>
  <cols>
    <col min="1" max="1" width="31.28515625" style="30" customWidth="1"/>
    <col min="2" max="2" width="12.28515625" style="30" customWidth="1"/>
    <col min="3" max="3" width="22" style="33" customWidth="1"/>
    <col min="4" max="4" width="18.42578125" style="33" customWidth="1"/>
    <col min="5" max="5" width="2.7109375" style="30" customWidth="1"/>
    <col min="6" max="13" width="0" style="30" hidden="1" customWidth="1"/>
    <col min="14" max="16384" width="8.7109375" style="30" hidden="1"/>
  </cols>
  <sheetData>
    <row r="1" spans="1:8">
      <c r="A1" s="218" t="s">
        <v>25</v>
      </c>
      <c r="B1" s="219"/>
      <c r="C1" s="55" t="s">
        <v>26</v>
      </c>
      <c r="D1" s="48" t="str">
        <f ca="1">CONCATENATE("Value",TEXT(NOW(),"YYYYMMDD"),ROUNDUP((RAND()*10000),0))</f>
        <v>Value201908301910</v>
      </c>
      <c r="E1" s="1"/>
      <c r="F1" s="1"/>
      <c r="G1" s="1"/>
      <c r="H1" s="1"/>
    </row>
    <row r="2" spans="1:8" ht="14.1" customHeight="1">
      <c r="A2" s="220" t="s">
        <v>27</v>
      </c>
      <c r="B2" s="221"/>
      <c r="C2" s="230"/>
      <c r="D2" s="231"/>
      <c r="E2" s="1"/>
      <c r="F2" s="1"/>
      <c r="G2" s="1"/>
      <c r="H2" s="1"/>
    </row>
    <row r="3" spans="1:8" ht="15" customHeight="1">
      <c r="A3" s="53" t="s">
        <v>28</v>
      </c>
      <c r="B3" s="31" t="s">
        <v>29</v>
      </c>
      <c r="C3" s="100" t="s">
        <v>28</v>
      </c>
      <c r="D3" s="100" t="s">
        <v>29</v>
      </c>
      <c r="E3" s="1"/>
      <c r="F3" s="1"/>
      <c r="G3" s="1"/>
      <c r="H3" s="1"/>
    </row>
    <row r="4" spans="1:8" ht="18.95" customHeight="1">
      <c r="A4" s="39" t="s">
        <v>292</v>
      </c>
      <c r="B4" s="127">
        <f>Summary!S68</f>
        <v>9</v>
      </c>
      <c r="C4" s="116" t="s">
        <v>51</v>
      </c>
      <c r="D4" s="228" t="s">
        <v>289</v>
      </c>
      <c r="E4" s="1" t="s">
        <v>45</v>
      </c>
      <c r="F4" s="1"/>
      <c r="G4" s="5"/>
      <c r="H4" s="5"/>
    </row>
    <row r="5" spans="1:8" ht="30" customHeight="1">
      <c r="A5" s="191" t="s">
        <v>293</v>
      </c>
      <c r="B5" s="192">
        <f>(Summary!S42+Summary!S36)</f>
        <v>18</v>
      </c>
      <c r="C5" s="117" t="s">
        <v>30</v>
      </c>
      <c r="D5" s="229"/>
      <c r="E5" s="1"/>
      <c r="F5" s="1"/>
      <c r="G5" s="5"/>
      <c r="H5" s="5"/>
    </row>
    <row r="6" spans="1:8">
      <c r="A6" s="191" t="s">
        <v>31</v>
      </c>
      <c r="B6" s="192">
        <f>Summary!S51</f>
        <v>9</v>
      </c>
      <c r="C6" s="117" t="s">
        <v>50</v>
      </c>
      <c r="D6" s="229"/>
      <c r="E6" s="1"/>
      <c r="F6" s="1"/>
      <c r="G6" s="5"/>
      <c r="H6" s="5"/>
    </row>
    <row r="7" spans="1:8">
      <c r="A7" s="16" t="s">
        <v>312</v>
      </c>
      <c r="B7" s="243" t="s">
        <v>303</v>
      </c>
      <c r="C7" s="117" t="s">
        <v>32</v>
      </c>
      <c r="D7" s="229"/>
      <c r="E7" s="1"/>
      <c r="F7" s="1"/>
      <c r="G7" s="5"/>
      <c r="H7" s="5"/>
    </row>
    <row r="8" spans="1:8">
      <c r="A8" s="16" t="s">
        <v>296</v>
      </c>
      <c r="B8" s="243"/>
      <c r="C8" s="117" t="s">
        <v>33</v>
      </c>
      <c r="D8" s="229"/>
      <c r="E8" s="1"/>
      <c r="F8" s="1"/>
      <c r="G8" s="5"/>
      <c r="H8" s="5"/>
    </row>
    <row r="9" spans="1:8">
      <c r="A9" s="16" t="s">
        <v>297</v>
      </c>
      <c r="B9" s="243"/>
      <c r="C9" s="117" t="s">
        <v>34</v>
      </c>
      <c r="D9" s="229"/>
      <c r="E9" s="1"/>
      <c r="F9" s="1"/>
      <c r="G9" s="5"/>
      <c r="H9" s="5"/>
    </row>
    <row r="10" spans="1:8">
      <c r="A10" s="16" t="s">
        <v>298</v>
      </c>
      <c r="B10" s="243"/>
      <c r="C10" s="117" t="s">
        <v>35</v>
      </c>
      <c r="D10" s="229"/>
      <c r="E10" s="1"/>
      <c r="F10" s="1"/>
      <c r="G10" s="5"/>
      <c r="H10" s="5"/>
    </row>
    <row r="11" spans="1:8">
      <c r="A11" s="16" t="s">
        <v>299</v>
      </c>
      <c r="B11" s="243"/>
      <c r="C11" s="117" t="s">
        <v>36</v>
      </c>
      <c r="D11" s="229"/>
      <c r="E11" s="1"/>
      <c r="F11" s="1"/>
      <c r="G11" s="5"/>
      <c r="H11" s="5"/>
    </row>
    <row r="12" spans="1:8">
      <c r="A12" s="16" t="s">
        <v>300</v>
      </c>
      <c r="B12" s="243"/>
      <c r="C12" s="117" t="s">
        <v>37</v>
      </c>
      <c r="D12" s="229"/>
      <c r="E12" s="1"/>
      <c r="F12" s="1"/>
      <c r="G12" s="5"/>
      <c r="H12" s="5"/>
    </row>
    <row r="13" spans="1:8">
      <c r="A13" s="16" t="s">
        <v>301</v>
      </c>
      <c r="B13" s="243"/>
      <c r="C13" s="118" t="s">
        <v>283</v>
      </c>
      <c r="D13" s="89"/>
      <c r="E13" s="1"/>
      <c r="F13" s="1"/>
      <c r="G13" s="5"/>
      <c r="H13" s="40"/>
    </row>
    <row r="14" spans="1:8">
      <c r="A14" s="16" t="s">
        <v>302</v>
      </c>
      <c r="B14" s="243"/>
      <c r="C14" s="119">
        <f>SUM(D4:D12)</f>
        <v>0</v>
      </c>
      <c r="D14" s="89"/>
      <c r="E14" s="1"/>
      <c r="F14" s="1"/>
      <c r="G14" s="5"/>
      <c r="H14" s="40"/>
    </row>
    <row r="15" spans="1:8">
      <c r="A15" s="32" t="s">
        <v>294</v>
      </c>
      <c r="B15" s="41"/>
      <c r="C15" s="120"/>
      <c r="D15" s="101"/>
      <c r="E15" s="1"/>
      <c r="F15" s="1"/>
      <c r="G15" s="1"/>
      <c r="H15" s="1"/>
    </row>
    <row r="16" spans="1:8" ht="8.25" customHeight="1">
      <c r="A16" s="42"/>
      <c r="B16" s="49"/>
      <c r="C16" s="222" t="s">
        <v>38</v>
      </c>
      <c r="D16" s="223"/>
      <c r="E16" s="1"/>
      <c r="F16" s="1"/>
      <c r="G16" s="1"/>
      <c r="H16" s="1"/>
    </row>
    <row r="17" spans="1:12">
      <c r="A17" s="190">
        <f>SUM(B4:B14)</f>
        <v>36</v>
      </c>
      <c r="B17" s="54" t="s">
        <v>291</v>
      </c>
      <c r="C17" s="224"/>
      <c r="D17" s="225"/>
      <c r="E17" s="1"/>
      <c r="F17" s="1"/>
      <c r="G17" s="1"/>
      <c r="H17" s="1"/>
      <c r="I17" s="1"/>
      <c r="J17" s="1"/>
      <c r="K17" s="1"/>
      <c r="L17" s="1"/>
    </row>
    <row r="18" spans="1:12" ht="9.75" customHeight="1">
      <c r="A18" s="56"/>
      <c r="B18" s="57"/>
      <c r="C18" s="226"/>
      <c r="D18" s="227"/>
      <c r="E18" s="1"/>
      <c r="F18" s="1"/>
      <c r="G18" s="1"/>
      <c r="H18" s="1"/>
      <c r="I18" s="1"/>
      <c r="J18" s="1"/>
      <c r="K18" s="1"/>
      <c r="L18" s="1"/>
    </row>
    <row r="19" spans="1:12" hidden="1">
      <c r="A19" s="102" t="s">
        <v>96</v>
      </c>
      <c r="B19" s="124" t="s">
        <v>46</v>
      </c>
      <c r="C19" s="102" t="s">
        <v>5</v>
      </c>
      <c r="D19" s="125" t="s">
        <v>46</v>
      </c>
      <c r="E19" s="1"/>
      <c r="F19" s="1"/>
      <c r="G19" s="1"/>
      <c r="H19" s="1"/>
      <c r="I19" s="1"/>
      <c r="J19" s="1"/>
      <c r="K19" s="1"/>
      <c r="L19" s="1"/>
    </row>
    <row r="20" spans="1:12" hidden="1">
      <c r="A20" s="103" t="s">
        <v>95</v>
      </c>
      <c r="B20" s="124" t="s">
        <v>46</v>
      </c>
      <c r="C20" s="103" t="s">
        <v>6</v>
      </c>
      <c r="D20" s="126" t="s">
        <v>46</v>
      </c>
      <c r="E20" s="33"/>
      <c r="F20" s="1"/>
      <c r="G20" s="1"/>
      <c r="H20" s="1"/>
      <c r="I20" s="1"/>
      <c r="J20" s="1"/>
      <c r="K20" s="1"/>
      <c r="L20" s="1"/>
    </row>
    <row r="21" spans="1:12" hidden="1">
      <c r="A21" s="103" t="s">
        <v>94</v>
      </c>
      <c r="B21" s="124" t="s">
        <v>46</v>
      </c>
      <c r="C21" s="103" t="s">
        <v>8</v>
      </c>
      <c r="D21" s="126" t="s">
        <v>46</v>
      </c>
      <c r="E21" s="1"/>
      <c r="F21" s="1"/>
      <c r="G21" s="1"/>
      <c r="H21" s="1"/>
      <c r="I21" s="1"/>
      <c r="J21" s="1"/>
      <c r="K21" s="1"/>
      <c r="L21" s="1"/>
    </row>
    <row r="22" spans="1:12" hidden="1">
      <c r="A22" s="103" t="s">
        <v>93</v>
      </c>
      <c r="B22" s="124" t="s">
        <v>46</v>
      </c>
      <c r="C22" s="103" t="s">
        <v>10</v>
      </c>
      <c r="D22" s="126" t="s">
        <v>46</v>
      </c>
      <c r="E22" s="1"/>
      <c r="F22" s="1"/>
      <c r="G22" s="1"/>
      <c r="H22"/>
      <c r="I22" s="1"/>
      <c r="J22" s="1"/>
      <c r="K22" s="1"/>
      <c r="L22"/>
    </row>
    <row r="23" spans="1:12" hidden="1">
      <c r="A23" s="103" t="s">
        <v>40</v>
      </c>
      <c r="B23" s="124" t="s">
        <v>54</v>
      </c>
      <c r="C23" s="103" t="s">
        <v>52</v>
      </c>
      <c r="D23" s="126" t="s">
        <v>69</v>
      </c>
      <c r="E23" s="1"/>
      <c r="F23" s="1"/>
      <c r="G23" s="1"/>
      <c r="H23" s="1"/>
      <c r="I23" s="1"/>
      <c r="J23" s="1"/>
      <c r="K23"/>
      <c r="L23" s="1"/>
    </row>
    <row r="24" spans="1:12" hidden="1">
      <c r="A24" s="103" t="s">
        <v>98</v>
      </c>
      <c r="B24" s="124" t="s">
        <v>74</v>
      </c>
      <c r="C24" s="103" t="s">
        <v>53</v>
      </c>
      <c r="D24" s="126" t="s">
        <v>74</v>
      </c>
      <c r="E24" s="1"/>
      <c r="F24"/>
      <c r="G24" s="1"/>
      <c r="H24" s="1"/>
      <c r="I24" s="1"/>
      <c r="J24" s="1"/>
      <c r="K24" s="1"/>
      <c r="L24" s="1"/>
    </row>
    <row r="25" spans="1:12" hidden="1">
      <c r="A25" s="103" t="s">
        <v>97</v>
      </c>
      <c r="B25" s="124" t="s">
        <v>46</v>
      </c>
      <c r="C25" s="103" t="s">
        <v>13</v>
      </c>
      <c r="D25" s="126" t="s">
        <v>46</v>
      </c>
      <c r="E25" s="1"/>
      <c r="F25" s="1"/>
      <c r="G25" s="1"/>
      <c r="H25" s="1"/>
      <c r="I25" s="1"/>
      <c r="J25" s="1"/>
      <c r="K25" s="1"/>
      <c r="L25" s="1"/>
    </row>
    <row r="26" spans="1:12" hidden="1">
      <c r="A26" s="103" t="s">
        <v>99</v>
      </c>
      <c r="B26" s="124" t="s">
        <v>46</v>
      </c>
      <c r="C26" s="103" t="s">
        <v>39</v>
      </c>
      <c r="D26" s="126" t="s">
        <v>46</v>
      </c>
      <c r="E26" s="33"/>
      <c r="F26" s="1"/>
      <c r="G26" s="1"/>
      <c r="H26" s="1"/>
      <c r="I26" s="1"/>
      <c r="J26" s="1"/>
      <c r="K26" s="1"/>
      <c r="L26" s="1"/>
    </row>
    <row r="27" spans="1:12" ht="18" hidden="1" customHeight="1">
      <c r="A27" s="103" t="s">
        <v>100</v>
      </c>
      <c r="B27" s="124" t="s">
        <v>47</v>
      </c>
      <c r="C27" s="103" t="s">
        <v>15</v>
      </c>
      <c r="D27" s="126" t="s">
        <v>47</v>
      </c>
      <c r="E27" s="1"/>
      <c r="F27"/>
      <c r="G27" s="1"/>
      <c r="H27"/>
      <c r="I27" s="1"/>
      <c r="J27" s="1"/>
      <c r="K27" s="1"/>
      <c r="L27" s="1"/>
    </row>
    <row r="28" spans="1:12" hidden="1">
      <c r="A28" s="104"/>
      <c r="B28" s="105"/>
      <c r="C28" s="104"/>
      <c r="D28" s="106"/>
      <c r="E28"/>
      <c r="F28" s="1"/>
      <c r="G28"/>
      <c r="H28" s="1"/>
      <c r="I28" s="1"/>
      <c r="J28" s="1"/>
      <c r="K28" s="1"/>
      <c r="L28" s="1"/>
    </row>
    <row r="29" spans="1:12" ht="5.25" customHeight="1">
      <c r="A29" s="43"/>
      <c r="B29" s="49"/>
      <c r="D29" s="34"/>
      <c r="E29" s="1"/>
      <c r="F29" s="1"/>
      <c r="G29" s="1"/>
      <c r="H29" s="1"/>
      <c r="I29" s="1"/>
      <c r="J29" s="1"/>
      <c r="K29" s="1"/>
      <c r="L29" s="1"/>
    </row>
    <row r="30" spans="1:12" ht="11.1" customHeight="1">
      <c r="A30" s="215" t="str">
        <f>SUM(C14,A17)&amp;" (36 is The Total Possible Match for the Instant Report Value Package)"</f>
        <v>36 (36 is The Total Possible Match for the Instant Report Value Package)</v>
      </c>
      <c r="B30" s="216"/>
      <c r="C30" s="216"/>
      <c r="D30" s="217"/>
      <c r="E30"/>
      <c r="F30" s="1"/>
      <c r="G30"/>
      <c r="H30" s="1"/>
      <c r="I30" s="1"/>
      <c r="J30"/>
      <c r="K30" s="1"/>
      <c r="L30" s="1"/>
    </row>
    <row r="31" spans="1:12" ht="8.25" customHeight="1">
      <c r="A31" s="49"/>
      <c r="B31" s="49"/>
      <c r="D31" s="34"/>
      <c r="E31" s="1"/>
      <c r="F31" s="1"/>
      <c r="G31" s="1"/>
      <c r="H31" s="1"/>
      <c r="I31"/>
      <c r="J31" s="1"/>
      <c r="K31" s="1"/>
      <c r="L31" s="1"/>
    </row>
    <row r="32" spans="1:12">
      <c r="A32" s="188"/>
      <c r="B32" s="48"/>
      <c r="C32" s="52"/>
      <c r="D32" s="48"/>
      <c r="E32"/>
      <c r="F32"/>
      <c r="G32" s="1"/>
      <c r="H32"/>
      <c r="I32" s="1"/>
      <c r="J32" s="1"/>
      <c r="K32" s="1"/>
      <c r="L32" s="1"/>
    </row>
    <row r="33" spans="1:11">
      <c r="A33" s="50"/>
      <c r="B33" s="47"/>
      <c r="C33"/>
      <c r="D33" s="47"/>
      <c r="E33"/>
      <c r="F33" s="1"/>
      <c r="G33" s="1"/>
      <c r="H33" s="1"/>
      <c r="I33" s="1"/>
      <c r="J33" s="1"/>
      <c r="K33" s="1"/>
    </row>
    <row r="34" spans="1:11">
      <c r="A34" s="50"/>
      <c r="B34" s="47"/>
      <c r="C34" s="50"/>
      <c r="D34" s="47"/>
      <c r="E34"/>
      <c r="F34" s="33"/>
      <c r="G34"/>
      <c r="H34" s="1"/>
      <c r="I34" s="1"/>
      <c r="J34" s="1"/>
      <c r="K34" s="1"/>
    </row>
    <row r="35" spans="1:11">
      <c r="A35" s="50"/>
      <c r="B35" s="47"/>
      <c r="C35" s="50"/>
      <c r="D35" s="47"/>
      <c r="E35"/>
      <c r="F35" s="1"/>
      <c r="G35" s="1"/>
      <c r="H35" s="1"/>
      <c r="I35" s="1"/>
      <c r="J35"/>
      <c r="K35" s="1"/>
    </row>
    <row r="36" spans="1:11">
      <c r="A36" s="50"/>
      <c r="B36" s="47"/>
      <c r="C36" s="50"/>
      <c r="D36" s="47"/>
      <c r="E36"/>
      <c r="F36"/>
      <c r="G36" s="1"/>
      <c r="H36" s="1"/>
      <c r="I36" s="1"/>
      <c r="J36" s="1"/>
      <c r="K36"/>
    </row>
    <row r="37" spans="1:11">
      <c r="A37" s="50"/>
      <c r="B37" s="60"/>
      <c r="C37" s="51"/>
      <c r="D37" s="47"/>
      <c r="E37" s="33"/>
      <c r="F37" s="33"/>
      <c r="G37" s="1"/>
      <c r="H37" s="1"/>
      <c r="I37" s="1"/>
      <c r="J37" s="1"/>
      <c r="K37" s="1"/>
    </row>
    <row r="38" spans="1:11">
      <c r="A38" s="43"/>
      <c r="B38" s="47"/>
      <c r="C38" s="50"/>
      <c r="D38" s="34"/>
      <c r="E38"/>
      <c r="F38" s="1"/>
      <c r="G38" s="1"/>
      <c r="H38" s="1"/>
      <c r="I38" s="1"/>
      <c r="J38" s="1"/>
      <c r="K38" s="1"/>
    </row>
    <row r="39" spans="1:11">
      <c r="A39" s="43"/>
      <c r="B39" s="60"/>
      <c r="C39" s="50"/>
      <c r="D39" s="34"/>
      <c r="E39" s="1"/>
      <c r="F39" s="1"/>
      <c r="G39" s="1"/>
      <c r="H39" s="1"/>
      <c r="I39" s="1"/>
      <c r="J39" s="1"/>
      <c r="K39" s="1"/>
    </row>
    <row r="40" spans="1:11">
      <c r="A40" s="43"/>
      <c r="B40" s="60"/>
      <c r="C40" s="51"/>
      <c r="D40" s="34"/>
      <c r="E40"/>
      <c r="F40" s="1"/>
      <c r="G40" s="1"/>
      <c r="H40" s="1"/>
      <c r="I40" s="1"/>
      <c r="J40" s="1"/>
      <c r="K40" s="1"/>
    </row>
    <row r="41" spans="1:11">
      <c r="A41" s="59"/>
      <c r="B41" s="45"/>
      <c r="C41" s="58"/>
      <c r="D41" s="36"/>
      <c r="E41" s="1"/>
      <c r="F41" s="1"/>
      <c r="G41" s="33"/>
      <c r="H41" s="1"/>
      <c r="I41" s="1"/>
      <c r="J41" s="1"/>
      <c r="K41" s="1"/>
    </row>
    <row r="42" spans="1:11" ht="2.1" customHeight="1">
      <c r="A42" s="44"/>
      <c r="B42" s="45"/>
      <c r="C42" s="35"/>
      <c r="D42" s="36"/>
      <c r="E42" s="1"/>
      <c r="F42" s="1"/>
      <c r="G42" s="1"/>
      <c r="H42" s="1"/>
      <c r="I42" s="1"/>
      <c r="J42" s="1"/>
      <c r="K42" s="1"/>
    </row>
    <row r="43" spans="1:11">
      <c r="A43" s="49"/>
      <c r="B43" s="46"/>
      <c r="C43"/>
      <c r="D43" s="37"/>
      <c r="E43" s="1"/>
      <c r="F43" s="1"/>
      <c r="G43" s="1"/>
      <c r="H43" s="1"/>
      <c r="I43" s="1"/>
      <c r="J43" s="1"/>
      <c r="K43" s="1"/>
    </row>
    <row r="44" spans="1:11" hidden="1"/>
    <row r="45" spans="1:11" hidden="1">
      <c r="E45"/>
    </row>
    <row r="46" spans="1:11" hidden="1"/>
    <row r="47" spans="1:11" hidden="1"/>
    <row r="48" spans="1:11" hidden="1"/>
    <row r="49" spans="4:4" hidden="1"/>
    <row r="50" spans="4:4" hidden="1"/>
    <row r="51" spans="4:4" hidden="1">
      <c r="D51"/>
    </row>
  </sheetData>
  <mergeCells count="7">
    <mergeCell ref="A30:D30"/>
    <mergeCell ref="A1:B1"/>
    <mergeCell ref="A2:B2"/>
    <mergeCell ref="C16:D18"/>
    <mergeCell ref="D4:D12"/>
    <mergeCell ref="C2:D2"/>
    <mergeCell ref="B7:B14"/>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12" activePane="bottomLeft" state="frozen"/>
      <selection pane="bottomLeft" activeCell="A31" sqref="A31"/>
    </sheetView>
  </sheetViews>
  <sheetFormatPr defaultColWidth="8.85546875" defaultRowHeight="15"/>
  <cols>
    <col min="1" max="1" width="15.140625" customWidth="1"/>
    <col min="2" max="2" width="14.140625" customWidth="1"/>
    <col min="3" max="3" width="8.42578125" bestFit="1" customWidth="1"/>
    <col min="4" max="4" width="6.42578125" bestFit="1" customWidth="1"/>
    <col min="5" max="5" width="7.28515625" style="163" bestFit="1" customWidth="1"/>
    <col min="6" max="6" width="6.42578125" style="164" bestFit="1" customWidth="1"/>
    <col min="7" max="7" width="3.85546875" style="170" bestFit="1" customWidth="1"/>
    <col min="8" max="8" width="6.42578125" style="163" bestFit="1" customWidth="1"/>
    <col min="9" max="9" width="6.42578125" style="128" bestFit="1" customWidth="1"/>
    <col min="10" max="10" width="3.85546875" style="170" bestFit="1" customWidth="1"/>
    <col min="11" max="11" width="6.42578125" style="163" bestFit="1" customWidth="1"/>
    <col min="12" max="12" width="6.42578125" style="164" bestFit="1" customWidth="1"/>
    <col min="13" max="13" width="3.85546875" style="170" bestFit="1" customWidth="1"/>
    <col min="14" max="14" width="6.42578125" style="163" bestFit="1" customWidth="1"/>
    <col min="15" max="15" width="6.42578125" style="164" bestFit="1" customWidth="1"/>
    <col min="16" max="16" width="3.85546875" style="170" bestFit="1" customWidth="1"/>
    <col min="17" max="19" width="10.85546875" style="110" bestFit="1" customWidth="1"/>
    <col min="20" max="20" width="9.7109375" style="110" bestFit="1" customWidth="1"/>
    <col min="22" max="22" width="17" bestFit="1" customWidth="1"/>
    <col min="23" max="24" width="19.28515625" bestFit="1" customWidth="1"/>
    <col min="25" max="25" width="17" bestFit="1" customWidth="1"/>
  </cols>
  <sheetData>
    <row r="1" spans="1:25" ht="15.75" customHeight="1">
      <c r="A1" s="233" t="s">
        <v>106</v>
      </c>
      <c r="B1" s="233" t="s">
        <v>107</v>
      </c>
      <c r="C1" s="235" t="s">
        <v>245</v>
      </c>
      <c r="D1" s="236" t="s">
        <v>246</v>
      </c>
      <c r="E1" s="232" t="s">
        <v>250</v>
      </c>
      <c r="F1" s="232"/>
      <c r="G1" s="232"/>
      <c r="H1" s="232" t="s">
        <v>251</v>
      </c>
      <c r="I1" s="232"/>
      <c r="J1" s="232"/>
      <c r="K1" s="232" t="s">
        <v>252</v>
      </c>
      <c r="L1" s="232"/>
      <c r="M1" s="232"/>
      <c r="N1" s="232" t="s">
        <v>253</v>
      </c>
      <c r="O1" s="232"/>
      <c r="P1" s="232"/>
      <c r="Q1" s="113"/>
      <c r="R1" s="113"/>
      <c r="S1" s="113"/>
      <c r="T1" s="113"/>
    </row>
    <row r="2" spans="1:25" ht="16.5" thickBot="1">
      <c r="A2" s="234"/>
      <c r="B2" s="234"/>
      <c r="C2" s="235"/>
      <c r="D2" s="236"/>
      <c r="E2" s="159" t="s">
        <v>247</v>
      </c>
      <c r="F2" s="160" t="s">
        <v>248</v>
      </c>
      <c r="G2" s="167" t="s">
        <v>249</v>
      </c>
      <c r="H2" s="159" t="s">
        <v>247</v>
      </c>
      <c r="I2" s="179" t="s">
        <v>248</v>
      </c>
      <c r="J2" s="167" t="s">
        <v>249</v>
      </c>
      <c r="K2" s="159" t="s">
        <v>247</v>
      </c>
      <c r="L2" s="160" t="s">
        <v>248</v>
      </c>
      <c r="M2" s="167" t="s">
        <v>249</v>
      </c>
      <c r="N2" s="159" t="s">
        <v>247</v>
      </c>
      <c r="O2" s="160" t="s">
        <v>248</v>
      </c>
      <c r="P2" s="167" t="s">
        <v>249</v>
      </c>
      <c r="Q2" s="113"/>
      <c r="R2" s="113"/>
      <c r="S2" s="113"/>
      <c r="T2" s="113"/>
    </row>
    <row r="3" spans="1:25" ht="15.75">
      <c r="A3">
        <v>78</v>
      </c>
      <c r="B3">
        <v>78</v>
      </c>
      <c r="C3" s="152">
        <f>ABS(A3-B3)</f>
        <v>0</v>
      </c>
      <c r="D3" s="152">
        <f t="shared" ref="D3:D34" si="0">IF(AND(C3&gt;=E3,C3&lt;=F3),G3,IF(AND(C3&gt;=H3,C3&lt;=I3),J3,IF(AND(C3&gt;=K3,C3&lt;=L3),M3,P3)))</f>
        <v>9</v>
      </c>
      <c r="E3" s="153">
        <v>0</v>
      </c>
      <c r="F3" s="154">
        <v>3</v>
      </c>
      <c r="G3" s="155">
        <v>9</v>
      </c>
      <c r="H3" s="153">
        <v>4</v>
      </c>
      <c r="I3" s="156">
        <v>5</v>
      </c>
      <c r="J3" s="155">
        <v>7</v>
      </c>
      <c r="K3" s="182">
        <v>6</v>
      </c>
      <c r="L3" s="183">
        <v>7</v>
      </c>
      <c r="M3" s="171">
        <v>2</v>
      </c>
      <c r="N3" s="182">
        <v>7</v>
      </c>
      <c r="O3" s="183"/>
      <c r="P3" s="173">
        <v>0</v>
      </c>
      <c r="Q3" s="128"/>
      <c r="R3" s="128"/>
      <c r="S3" s="128"/>
      <c r="T3" s="128"/>
      <c r="V3" s="133"/>
      <c r="W3" s="133"/>
      <c r="X3" s="133"/>
      <c r="Y3" s="133"/>
    </row>
    <row r="4" spans="1:25" ht="15.75">
      <c r="A4">
        <v>76</v>
      </c>
      <c r="B4">
        <v>76</v>
      </c>
      <c r="C4" s="157">
        <f>ABS(A4-B4)</f>
        <v>0</v>
      </c>
      <c r="D4" s="157">
        <f t="shared" si="0"/>
        <v>9</v>
      </c>
      <c r="E4" s="129">
        <v>0</v>
      </c>
      <c r="F4" s="130">
        <v>2</v>
      </c>
      <c r="G4" s="131">
        <v>9</v>
      </c>
      <c r="H4" s="129">
        <v>3</v>
      </c>
      <c r="I4" s="132">
        <v>4</v>
      </c>
      <c r="J4" s="131">
        <v>7</v>
      </c>
      <c r="K4" s="178">
        <v>5</v>
      </c>
      <c r="L4" s="95">
        <v>6</v>
      </c>
      <c r="M4" s="111">
        <v>2</v>
      </c>
      <c r="N4" s="178">
        <v>7</v>
      </c>
      <c r="O4" s="95"/>
      <c r="P4" s="174">
        <v>0</v>
      </c>
      <c r="Q4" s="128"/>
      <c r="R4" s="128"/>
      <c r="S4" s="128"/>
      <c r="T4" s="128"/>
      <c r="V4" s="133"/>
      <c r="W4" s="133"/>
      <c r="X4" s="133"/>
      <c r="Y4" s="133"/>
    </row>
    <row r="5" spans="1:25" ht="15.75">
      <c r="A5">
        <v>74</v>
      </c>
      <c r="B5">
        <v>74</v>
      </c>
      <c r="C5" s="157">
        <f t="shared" ref="C5:C22" si="1">ABS(A5-B5)</f>
        <v>0</v>
      </c>
      <c r="D5" s="157">
        <f t="shared" si="0"/>
        <v>9</v>
      </c>
      <c r="E5" s="129">
        <v>0</v>
      </c>
      <c r="F5" s="130">
        <v>2</v>
      </c>
      <c r="G5" s="131">
        <v>9</v>
      </c>
      <c r="H5" s="129">
        <v>3</v>
      </c>
      <c r="I5" s="132">
        <v>4</v>
      </c>
      <c r="J5" s="131">
        <v>7</v>
      </c>
      <c r="K5" s="178">
        <v>5</v>
      </c>
      <c r="L5" s="95">
        <v>6</v>
      </c>
      <c r="M5" s="111">
        <v>2</v>
      </c>
      <c r="N5" s="178">
        <v>7</v>
      </c>
      <c r="O5" s="95"/>
      <c r="P5" s="174">
        <v>0</v>
      </c>
      <c r="Q5" s="128"/>
      <c r="R5" s="128"/>
      <c r="S5" s="128"/>
      <c r="T5" s="128"/>
      <c r="V5" s="133"/>
      <c r="W5" s="133"/>
      <c r="X5" s="133"/>
      <c r="Y5" s="133"/>
    </row>
    <row r="6" spans="1:25" ht="15.75">
      <c r="A6">
        <v>73</v>
      </c>
      <c r="B6">
        <v>73</v>
      </c>
      <c r="C6" s="157">
        <f t="shared" si="1"/>
        <v>0</v>
      </c>
      <c r="D6" s="157">
        <f t="shared" si="0"/>
        <v>9</v>
      </c>
      <c r="E6" s="129">
        <v>0</v>
      </c>
      <c r="F6" s="130">
        <v>2</v>
      </c>
      <c r="G6" s="131">
        <v>9</v>
      </c>
      <c r="H6" s="129">
        <v>3</v>
      </c>
      <c r="I6" s="132">
        <v>5</v>
      </c>
      <c r="J6" s="131">
        <v>7</v>
      </c>
      <c r="K6" s="178">
        <v>8</v>
      </c>
      <c r="L6" s="95">
        <v>12</v>
      </c>
      <c r="M6" s="111">
        <v>2</v>
      </c>
      <c r="N6" s="178">
        <v>13</v>
      </c>
      <c r="O6" s="95"/>
      <c r="P6" s="174">
        <v>0</v>
      </c>
      <c r="Q6" s="128"/>
      <c r="R6" s="128"/>
      <c r="S6" s="128"/>
      <c r="T6" s="128"/>
      <c r="V6" s="133"/>
      <c r="W6" s="133"/>
      <c r="X6" s="133"/>
      <c r="Y6" s="133"/>
    </row>
    <row r="7" spans="1:25" ht="15.75">
      <c r="A7">
        <v>71</v>
      </c>
      <c r="B7">
        <v>71</v>
      </c>
      <c r="C7" s="157">
        <f t="shared" si="1"/>
        <v>0</v>
      </c>
      <c r="D7" s="157">
        <f t="shared" si="0"/>
        <v>9</v>
      </c>
      <c r="E7" s="129">
        <v>0</v>
      </c>
      <c r="F7" s="130">
        <v>3</v>
      </c>
      <c r="G7" s="131">
        <v>9</v>
      </c>
      <c r="H7" s="129">
        <v>4</v>
      </c>
      <c r="I7" s="132">
        <v>5</v>
      </c>
      <c r="J7" s="131">
        <v>7</v>
      </c>
      <c r="K7" s="178">
        <v>6</v>
      </c>
      <c r="L7" s="95">
        <v>6</v>
      </c>
      <c r="M7" s="111">
        <v>2</v>
      </c>
      <c r="N7" s="178">
        <v>7</v>
      </c>
      <c r="O7" s="95"/>
      <c r="P7" s="174">
        <v>0</v>
      </c>
      <c r="Q7" s="128"/>
      <c r="R7" s="128"/>
      <c r="S7" s="128"/>
      <c r="T7" s="128"/>
      <c r="V7" s="133"/>
      <c r="W7" s="133"/>
      <c r="X7" s="133"/>
      <c r="Y7" s="133"/>
    </row>
    <row r="8" spans="1:25" ht="15.75">
      <c r="A8">
        <v>68</v>
      </c>
      <c r="B8">
        <v>68</v>
      </c>
      <c r="C8" s="157">
        <f t="shared" si="1"/>
        <v>0</v>
      </c>
      <c r="D8" s="157">
        <f t="shared" si="0"/>
        <v>9</v>
      </c>
      <c r="E8" s="129">
        <v>0</v>
      </c>
      <c r="F8" s="130">
        <v>3</v>
      </c>
      <c r="G8" s="131">
        <v>9</v>
      </c>
      <c r="H8" s="129">
        <v>4</v>
      </c>
      <c r="I8" s="112">
        <v>4</v>
      </c>
      <c r="J8" s="111">
        <v>7</v>
      </c>
      <c r="K8" s="178">
        <v>5</v>
      </c>
      <c r="L8" s="95">
        <v>5</v>
      </c>
      <c r="M8" s="111">
        <v>2</v>
      </c>
      <c r="N8" s="178">
        <v>6</v>
      </c>
      <c r="O8" s="95"/>
      <c r="P8" s="174">
        <v>0</v>
      </c>
      <c r="Q8" s="128"/>
      <c r="R8" s="128"/>
      <c r="S8" s="128"/>
      <c r="T8" s="128"/>
      <c r="V8" s="133"/>
      <c r="W8" s="133"/>
      <c r="X8" s="133"/>
      <c r="Y8" s="133"/>
    </row>
    <row r="9" spans="1:25" ht="15.75">
      <c r="A9">
        <v>66</v>
      </c>
      <c r="B9">
        <v>66</v>
      </c>
      <c r="C9" s="157">
        <f t="shared" si="1"/>
        <v>0</v>
      </c>
      <c r="D9" s="157">
        <f t="shared" si="0"/>
        <v>9</v>
      </c>
      <c r="E9" s="129">
        <v>0</v>
      </c>
      <c r="F9" s="130">
        <v>3</v>
      </c>
      <c r="G9" s="131">
        <v>9</v>
      </c>
      <c r="H9" s="129">
        <v>4</v>
      </c>
      <c r="I9" s="132">
        <v>5</v>
      </c>
      <c r="J9" s="111">
        <v>7</v>
      </c>
      <c r="K9" s="178">
        <v>6</v>
      </c>
      <c r="L9" s="95">
        <v>7</v>
      </c>
      <c r="M9" s="111">
        <v>2</v>
      </c>
      <c r="N9" s="178">
        <v>7</v>
      </c>
      <c r="O9" s="95"/>
      <c r="P9" s="174">
        <v>0</v>
      </c>
      <c r="Q9" s="128"/>
      <c r="R9" s="128"/>
      <c r="S9" s="128"/>
      <c r="T9" s="128"/>
      <c r="V9" s="133"/>
      <c r="W9" s="133"/>
      <c r="X9" s="133"/>
      <c r="Y9" s="133"/>
    </row>
    <row r="10" spans="1:25" ht="15.75">
      <c r="A10">
        <v>70</v>
      </c>
      <c r="B10">
        <v>70</v>
      </c>
      <c r="C10" s="157">
        <f t="shared" si="1"/>
        <v>0</v>
      </c>
      <c r="D10" s="157">
        <f t="shared" si="0"/>
        <v>9</v>
      </c>
      <c r="E10" s="129">
        <v>0</v>
      </c>
      <c r="F10" s="130">
        <v>2</v>
      </c>
      <c r="G10" s="131">
        <v>9</v>
      </c>
      <c r="H10" s="129">
        <v>3</v>
      </c>
      <c r="I10" s="132">
        <v>4</v>
      </c>
      <c r="J10" s="111">
        <v>5</v>
      </c>
      <c r="K10" s="178">
        <v>5</v>
      </c>
      <c r="L10" s="95">
        <v>5</v>
      </c>
      <c r="M10" s="111">
        <v>0</v>
      </c>
      <c r="N10" s="178">
        <v>5</v>
      </c>
      <c r="O10" s="95"/>
      <c r="P10" s="174">
        <v>0</v>
      </c>
      <c r="Q10" s="128"/>
      <c r="R10" s="128"/>
      <c r="S10" s="128"/>
      <c r="T10" s="128"/>
      <c r="V10" s="133"/>
      <c r="W10" s="133"/>
      <c r="X10" s="133"/>
      <c r="Y10" s="133"/>
    </row>
    <row r="11" spans="1:25" ht="15.75">
      <c r="A11">
        <v>72</v>
      </c>
      <c r="B11">
        <v>72</v>
      </c>
      <c r="C11" s="157">
        <f t="shared" si="1"/>
        <v>0</v>
      </c>
      <c r="D11" s="157">
        <f t="shared" si="0"/>
        <v>9</v>
      </c>
      <c r="E11" s="129">
        <v>0</v>
      </c>
      <c r="F11" s="130">
        <v>2</v>
      </c>
      <c r="G11" s="131">
        <v>9</v>
      </c>
      <c r="H11" s="129">
        <v>3</v>
      </c>
      <c r="I11" s="132">
        <v>4</v>
      </c>
      <c r="J11" s="111">
        <v>5</v>
      </c>
      <c r="K11" s="178">
        <v>5</v>
      </c>
      <c r="L11" s="95">
        <v>5</v>
      </c>
      <c r="M11" s="111">
        <v>0</v>
      </c>
      <c r="N11" s="178">
        <v>5</v>
      </c>
      <c r="O11" s="95"/>
      <c r="P11" s="174">
        <v>0</v>
      </c>
      <c r="Q11" s="128"/>
      <c r="R11" s="128"/>
      <c r="S11" s="128"/>
      <c r="T11" s="128"/>
      <c r="V11" s="133"/>
      <c r="W11" s="133"/>
      <c r="X11" s="133"/>
      <c r="Y11" s="133"/>
    </row>
    <row r="12" spans="1:25" ht="15.75">
      <c r="A12">
        <v>74</v>
      </c>
      <c r="B12">
        <v>74</v>
      </c>
      <c r="C12" s="157">
        <f t="shared" si="1"/>
        <v>0</v>
      </c>
      <c r="D12" s="157">
        <f t="shared" si="0"/>
        <v>9</v>
      </c>
      <c r="E12" s="129">
        <v>0</v>
      </c>
      <c r="F12" s="130">
        <v>3</v>
      </c>
      <c r="G12" s="131">
        <v>9</v>
      </c>
      <c r="H12" s="129">
        <v>4</v>
      </c>
      <c r="I12" s="132">
        <v>6</v>
      </c>
      <c r="J12" s="111">
        <v>5</v>
      </c>
      <c r="K12" s="178">
        <v>7</v>
      </c>
      <c r="L12" s="95">
        <v>7</v>
      </c>
      <c r="M12" s="111">
        <v>0</v>
      </c>
      <c r="N12" s="178">
        <v>7</v>
      </c>
      <c r="O12" s="95"/>
      <c r="P12" s="174">
        <v>0</v>
      </c>
      <c r="Q12" s="128"/>
      <c r="R12" s="128"/>
      <c r="S12" s="128"/>
      <c r="T12" s="128"/>
      <c r="V12" s="133"/>
      <c r="W12" s="133"/>
      <c r="X12" s="133"/>
      <c r="Y12" s="133"/>
    </row>
    <row r="13" spans="1:25" ht="15.75">
      <c r="A13">
        <v>76</v>
      </c>
      <c r="B13">
        <v>76</v>
      </c>
      <c r="C13" s="157">
        <f t="shared" si="1"/>
        <v>0</v>
      </c>
      <c r="D13" s="157">
        <f t="shared" si="0"/>
        <v>9</v>
      </c>
      <c r="E13" s="129">
        <v>0</v>
      </c>
      <c r="F13" s="130">
        <v>2</v>
      </c>
      <c r="G13" s="131">
        <v>9</v>
      </c>
      <c r="H13" s="129">
        <v>3</v>
      </c>
      <c r="I13" s="132">
        <v>4</v>
      </c>
      <c r="J13" s="131">
        <v>7</v>
      </c>
      <c r="K13" s="178">
        <v>5</v>
      </c>
      <c r="L13" s="95">
        <v>6</v>
      </c>
      <c r="M13" s="111">
        <v>2</v>
      </c>
      <c r="N13" s="178">
        <v>7</v>
      </c>
      <c r="O13" s="95"/>
      <c r="P13" s="174">
        <v>0</v>
      </c>
      <c r="Q13" s="128"/>
      <c r="R13" s="128"/>
      <c r="S13" s="128"/>
      <c r="T13" s="128"/>
      <c r="V13" s="133"/>
      <c r="W13" s="133"/>
      <c r="X13" s="133"/>
      <c r="Y13" s="133"/>
    </row>
    <row r="14" spans="1:25" ht="15.75">
      <c r="A14">
        <v>77</v>
      </c>
      <c r="B14">
        <v>77</v>
      </c>
      <c r="C14" s="157">
        <f t="shared" si="1"/>
        <v>0</v>
      </c>
      <c r="D14" s="157">
        <f t="shared" si="0"/>
        <v>9</v>
      </c>
      <c r="E14" s="129">
        <v>0</v>
      </c>
      <c r="F14" s="130">
        <v>2</v>
      </c>
      <c r="G14" s="131">
        <v>9</v>
      </c>
      <c r="H14" s="129">
        <v>3</v>
      </c>
      <c r="I14" s="132">
        <v>4</v>
      </c>
      <c r="J14" s="131">
        <v>7</v>
      </c>
      <c r="K14" s="178">
        <v>5</v>
      </c>
      <c r="L14" s="95">
        <v>6</v>
      </c>
      <c r="M14" s="111">
        <v>2</v>
      </c>
      <c r="N14" s="178">
        <v>7</v>
      </c>
      <c r="O14" s="95"/>
      <c r="P14" s="174">
        <v>0</v>
      </c>
      <c r="Q14" s="128"/>
      <c r="R14" s="128"/>
      <c r="S14" s="128"/>
      <c r="T14" s="128"/>
      <c r="V14" s="133"/>
      <c r="W14" s="133"/>
      <c r="X14" s="133"/>
      <c r="Y14" s="133"/>
    </row>
    <row r="15" spans="1:25" ht="15.75">
      <c r="A15">
        <v>78</v>
      </c>
      <c r="B15">
        <v>78</v>
      </c>
      <c r="C15" s="157">
        <f t="shared" si="1"/>
        <v>0</v>
      </c>
      <c r="D15" s="157">
        <f t="shared" si="0"/>
        <v>9</v>
      </c>
      <c r="E15" s="129">
        <v>0</v>
      </c>
      <c r="F15" s="130">
        <v>2</v>
      </c>
      <c r="G15" s="131">
        <v>9</v>
      </c>
      <c r="H15" s="129">
        <v>5</v>
      </c>
      <c r="I15" s="132">
        <v>7</v>
      </c>
      <c r="J15" s="131">
        <v>5</v>
      </c>
      <c r="K15" s="178">
        <v>7</v>
      </c>
      <c r="L15" s="95">
        <v>7</v>
      </c>
      <c r="M15" s="111">
        <v>0</v>
      </c>
      <c r="N15" s="178">
        <v>7</v>
      </c>
      <c r="O15" s="95"/>
      <c r="P15" s="174">
        <v>0</v>
      </c>
      <c r="Q15" s="128"/>
      <c r="R15" s="128"/>
      <c r="S15" s="128"/>
      <c r="T15" s="128"/>
      <c r="V15" s="133"/>
      <c r="W15" s="133"/>
      <c r="X15" s="133"/>
      <c r="Y15" s="133"/>
    </row>
    <row r="16" spans="1:25" ht="15.75">
      <c r="A16">
        <v>74</v>
      </c>
      <c r="B16">
        <v>74</v>
      </c>
      <c r="C16" s="157">
        <f t="shared" si="1"/>
        <v>0</v>
      </c>
      <c r="D16" s="157">
        <f t="shared" si="0"/>
        <v>9</v>
      </c>
      <c r="E16" s="129">
        <v>0</v>
      </c>
      <c r="F16" s="130">
        <v>2</v>
      </c>
      <c r="G16" s="131">
        <v>9</v>
      </c>
      <c r="H16" s="129">
        <v>5</v>
      </c>
      <c r="I16" s="132">
        <v>7</v>
      </c>
      <c r="J16" s="131">
        <v>5</v>
      </c>
      <c r="K16" s="178">
        <v>7</v>
      </c>
      <c r="L16" s="95">
        <v>7</v>
      </c>
      <c r="M16" s="111">
        <v>0</v>
      </c>
      <c r="N16" s="178">
        <v>7</v>
      </c>
      <c r="O16" s="95"/>
      <c r="P16" s="174">
        <v>0</v>
      </c>
      <c r="Q16" s="128"/>
      <c r="R16" s="128"/>
      <c r="S16" s="128"/>
      <c r="T16" s="128"/>
      <c r="V16" s="133"/>
      <c r="W16" s="133"/>
      <c r="X16" s="133"/>
      <c r="Y16" s="133"/>
    </row>
    <row r="17" spans="1:25" ht="15.75">
      <c r="A17">
        <v>73</v>
      </c>
      <c r="B17">
        <v>73</v>
      </c>
      <c r="C17" s="157">
        <f t="shared" si="1"/>
        <v>0</v>
      </c>
      <c r="D17" s="157">
        <f t="shared" si="0"/>
        <v>9</v>
      </c>
      <c r="E17" s="129">
        <v>0</v>
      </c>
      <c r="F17" s="130">
        <v>2</v>
      </c>
      <c r="G17" s="131">
        <v>9</v>
      </c>
      <c r="H17" s="129">
        <v>5</v>
      </c>
      <c r="I17" s="132">
        <v>7</v>
      </c>
      <c r="J17" s="131">
        <v>5</v>
      </c>
      <c r="K17" s="178">
        <v>7</v>
      </c>
      <c r="L17" s="95">
        <v>7</v>
      </c>
      <c r="M17" s="111">
        <v>0</v>
      </c>
      <c r="N17" s="178">
        <v>7</v>
      </c>
      <c r="O17" s="95"/>
      <c r="P17" s="174">
        <v>0</v>
      </c>
      <c r="Q17" s="128"/>
      <c r="R17" s="128"/>
      <c r="S17" s="128"/>
      <c r="T17" s="128"/>
      <c r="V17" s="133"/>
      <c r="W17" s="133"/>
      <c r="X17" s="133"/>
      <c r="Y17" s="133"/>
    </row>
    <row r="18" spans="1:25" ht="16.5" thickBot="1">
      <c r="A18">
        <v>71</v>
      </c>
      <c r="B18">
        <v>71</v>
      </c>
      <c r="C18" s="157">
        <f t="shared" si="1"/>
        <v>0</v>
      </c>
      <c r="D18" s="157">
        <f t="shared" si="0"/>
        <v>9</v>
      </c>
      <c r="E18" s="129">
        <v>0</v>
      </c>
      <c r="F18" s="130">
        <v>3</v>
      </c>
      <c r="G18" s="131">
        <v>9</v>
      </c>
      <c r="H18" s="129">
        <v>4</v>
      </c>
      <c r="I18" s="132">
        <v>5</v>
      </c>
      <c r="J18" s="111">
        <v>7</v>
      </c>
      <c r="K18" s="178">
        <v>6</v>
      </c>
      <c r="L18" s="95">
        <v>6</v>
      </c>
      <c r="M18" s="111">
        <v>2</v>
      </c>
      <c r="N18" s="178">
        <v>7</v>
      </c>
      <c r="O18" s="95"/>
      <c r="P18" s="174">
        <v>0</v>
      </c>
      <c r="Q18" s="128"/>
      <c r="R18" s="128"/>
      <c r="S18" s="128"/>
      <c r="T18" s="128"/>
      <c r="V18" s="133"/>
      <c r="W18" s="133"/>
      <c r="X18" s="133"/>
      <c r="Y18" s="133"/>
    </row>
    <row r="19" spans="1:25" ht="16.5" thickBot="1">
      <c r="A19">
        <v>67</v>
      </c>
      <c r="B19">
        <v>67</v>
      </c>
      <c r="C19" s="157">
        <f t="shared" si="1"/>
        <v>0</v>
      </c>
      <c r="D19" s="157">
        <f t="shared" si="0"/>
        <v>9</v>
      </c>
      <c r="E19" s="129">
        <v>0</v>
      </c>
      <c r="F19" s="130">
        <v>2</v>
      </c>
      <c r="G19" s="131">
        <v>9</v>
      </c>
      <c r="H19" s="129">
        <v>3</v>
      </c>
      <c r="I19" s="132">
        <v>4</v>
      </c>
      <c r="J19" s="111">
        <v>5</v>
      </c>
      <c r="K19" s="178">
        <v>5</v>
      </c>
      <c r="L19" s="95">
        <v>5</v>
      </c>
      <c r="M19" s="111">
        <v>0</v>
      </c>
      <c r="N19" s="178">
        <v>5</v>
      </c>
      <c r="O19" s="95"/>
      <c r="P19" s="174">
        <v>0</v>
      </c>
      <c r="Q19" s="149" t="s">
        <v>256</v>
      </c>
      <c r="R19" s="139" t="s">
        <v>254</v>
      </c>
      <c r="S19" s="139">
        <f>SUM(D3:D22)</f>
        <v>180</v>
      </c>
      <c r="T19" s="140"/>
      <c r="V19" s="133"/>
      <c r="W19" s="133"/>
      <c r="X19" s="133"/>
      <c r="Y19" s="133"/>
    </row>
    <row r="20" spans="1:25" ht="16.5" thickTop="1">
      <c r="A20">
        <v>72</v>
      </c>
      <c r="B20">
        <v>72</v>
      </c>
      <c r="C20" s="157">
        <f t="shared" si="1"/>
        <v>0</v>
      </c>
      <c r="D20" s="157">
        <f t="shared" si="0"/>
        <v>9</v>
      </c>
      <c r="E20" s="129">
        <v>0</v>
      </c>
      <c r="F20" s="130">
        <v>2</v>
      </c>
      <c r="G20" s="131">
        <v>9</v>
      </c>
      <c r="H20" s="129">
        <v>3</v>
      </c>
      <c r="I20" s="132">
        <v>4</v>
      </c>
      <c r="J20" s="111">
        <v>5</v>
      </c>
      <c r="K20" s="178">
        <v>5</v>
      </c>
      <c r="L20" s="95">
        <v>5</v>
      </c>
      <c r="M20" s="111">
        <v>0</v>
      </c>
      <c r="N20" s="178">
        <v>5</v>
      </c>
      <c r="O20" s="95"/>
      <c r="P20" s="174">
        <v>0</v>
      </c>
      <c r="Q20" s="114"/>
      <c r="R20" s="114" t="s">
        <v>255</v>
      </c>
      <c r="S20" s="114">
        <f>SUM(Q22:T22)</f>
        <v>9</v>
      </c>
      <c r="T20" s="138"/>
      <c r="V20" s="133"/>
      <c r="W20" s="133"/>
      <c r="X20" s="133"/>
      <c r="Y20" s="133"/>
    </row>
    <row r="21" spans="1:25" ht="15.75">
      <c r="A21">
        <v>74</v>
      </c>
      <c r="B21">
        <v>74</v>
      </c>
      <c r="C21" s="157">
        <f t="shared" si="1"/>
        <v>0</v>
      </c>
      <c r="D21" s="157">
        <f t="shared" si="0"/>
        <v>9</v>
      </c>
      <c r="E21" s="129">
        <v>0</v>
      </c>
      <c r="F21" s="130">
        <v>2</v>
      </c>
      <c r="G21" s="131">
        <v>9</v>
      </c>
      <c r="H21" s="129">
        <v>3</v>
      </c>
      <c r="I21" s="132">
        <v>4</v>
      </c>
      <c r="J21" s="111">
        <v>5</v>
      </c>
      <c r="K21" s="178">
        <v>5</v>
      </c>
      <c r="L21" s="95">
        <v>5</v>
      </c>
      <c r="M21" s="111">
        <v>0</v>
      </c>
      <c r="N21" s="178">
        <v>5</v>
      </c>
      <c r="O21" s="95"/>
      <c r="P21" s="174">
        <v>0</v>
      </c>
      <c r="Q21" s="134" t="s">
        <v>118</v>
      </c>
      <c r="R21" s="134" t="s">
        <v>119</v>
      </c>
      <c r="S21" s="134" t="s">
        <v>120</v>
      </c>
      <c r="T21" s="135" t="s">
        <v>121</v>
      </c>
      <c r="V21" s="133"/>
      <c r="W21" s="133"/>
      <c r="X21" s="133"/>
      <c r="Y21" s="133"/>
    </row>
    <row r="22" spans="1:25" ht="16.5" thickBot="1">
      <c r="A22">
        <v>75</v>
      </c>
      <c r="B22">
        <v>75</v>
      </c>
      <c r="C22" s="141">
        <f t="shared" si="1"/>
        <v>0</v>
      </c>
      <c r="D22" s="141">
        <f t="shared" si="0"/>
        <v>9</v>
      </c>
      <c r="E22" s="184">
        <v>0</v>
      </c>
      <c r="F22" s="143">
        <v>2</v>
      </c>
      <c r="G22" s="144">
        <v>9</v>
      </c>
      <c r="H22" s="142">
        <v>3</v>
      </c>
      <c r="I22" s="145">
        <v>4</v>
      </c>
      <c r="J22" s="144">
        <v>7</v>
      </c>
      <c r="K22" s="184">
        <v>5</v>
      </c>
      <c r="L22" s="185">
        <v>6</v>
      </c>
      <c r="M22" s="172">
        <v>2</v>
      </c>
      <c r="N22" s="184">
        <v>7</v>
      </c>
      <c r="O22" s="185"/>
      <c r="P22" s="175">
        <v>0</v>
      </c>
      <c r="Q22" s="136">
        <f>IF(AND(S19&lt;=180,S19&gt;=160),9,0)</f>
        <v>9</v>
      </c>
      <c r="R22" s="136">
        <f>IF(AND(S19&lt;=159,S19&gt;=150),8,0)</f>
        <v>0</v>
      </c>
      <c r="S22" s="136">
        <f>IF(AND(S19&lt;=149,S19&gt;=139),7,0)</f>
        <v>0</v>
      </c>
      <c r="T22" s="137">
        <f>IF(AND(S19&lt;=138,S19&gt;=50),2,0)</f>
        <v>0</v>
      </c>
      <c r="V22" s="133"/>
      <c r="W22" s="133"/>
      <c r="X22" s="133"/>
      <c r="Y22" s="133"/>
    </row>
    <row r="23" spans="1:25" ht="17.25" thickTop="1" thickBot="1">
      <c r="A23">
        <v>79</v>
      </c>
      <c r="B23">
        <v>79</v>
      </c>
      <c r="C23" s="157">
        <f t="shared" ref="C23" si="2">ABS(A23-B23)</f>
        <v>0</v>
      </c>
      <c r="D23" s="157">
        <f t="shared" si="0"/>
        <v>9</v>
      </c>
      <c r="E23" s="129">
        <v>0</v>
      </c>
      <c r="F23" s="161">
        <v>2</v>
      </c>
      <c r="G23" s="168">
        <v>9</v>
      </c>
      <c r="H23" s="186">
        <v>3</v>
      </c>
      <c r="I23" s="180">
        <v>4</v>
      </c>
      <c r="J23" s="168">
        <v>7</v>
      </c>
      <c r="K23" s="186">
        <v>5</v>
      </c>
      <c r="L23" s="161">
        <v>6</v>
      </c>
      <c r="M23" s="168">
        <v>2</v>
      </c>
      <c r="N23" s="186">
        <v>7</v>
      </c>
      <c r="O23" s="161"/>
      <c r="P23" s="176">
        <v>0</v>
      </c>
      <c r="Q23" s="128"/>
      <c r="R23" s="128"/>
      <c r="S23" s="128"/>
      <c r="T23" s="128"/>
      <c r="V23" s="107"/>
      <c r="W23" s="107"/>
      <c r="X23" s="107"/>
      <c r="Y23" s="107"/>
    </row>
    <row r="24" spans="1:25" ht="16.5" thickBot="1">
      <c r="A24">
        <v>77</v>
      </c>
      <c r="B24">
        <v>77</v>
      </c>
      <c r="C24" s="157">
        <f t="shared" ref="C24" si="3">ABS(A24-B24)</f>
        <v>0</v>
      </c>
      <c r="D24" s="157">
        <f t="shared" si="0"/>
        <v>9</v>
      </c>
      <c r="E24" s="129">
        <v>0</v>
      </c>
      <c r="F24" s="95">
        <v>2</v>
      </c>
      <c r="G24" s="111">
        <v>9</v>
      </c>
      <c r="H24" s="178">
        <v>3</v>
      </c>
      <c r="I24" s="112">
        <v>4</v>
      </c>
      <c r="J24" s="111">
        <v>7</v>
      </c>
      <c r="K24" s="178">
        <v>5</v>
      </c>
      <c r="L24" s="95">
        <v>7</v>
      </c>
      <c r="M24" s="111">
        <v>2</v>
      </c>
      <c r="N24" s="178">
        <v>8</v>
      </c>
      <c r="O24" s="95"/>
      <c r="P24" s="174">
        <v>0</v>
      </c>
      <c r="Q24" s="149" t="s">
        <v>122</v>
      </c>
      <c r="R24" s="139" t="s">
        <v>254</v>
      </c>
      <c r="S24" s="139">
        <f>SUM(D23:D27)</f>
        <v>45</v>
      </c>
      <c r="T24" s="140"/>
      <c r="V24" s="107"/>
      <c r="W24" s="107"/>
      <c r="X24" s="107"/>
      <c r="Y24" s="107"/>
    </row>
    <row r="25" spans="1:25" ht="16.5" thickTop="1">
      <c r="A25">
        <v>74</v>
      </c>
      <c r="B25">
        <v>74</v>
      </c>
      <c r="C25" s="157">
        <f t="shared" ref="C25:C27" si="4">ABS(A25-B25)</f>
        <v>0</v>
      </c>
      <c r="D25" s="157">
        <f t="shared" si="0"/>
        <v>9</v>
      </c>
      <c r="E25" s="129">
        <v>0</v>
      </c>
      <c r="F25" s="95">
        <v>6</v>
      </c>
      <c r="G25" s="111">
        <v>9</v>
      </c>
      <c r="H25" s="178">
        <v>7</v>
      </c>
      <c r="I25" s="112">
        <v>9</v>
      </c>
      <c r="J25" s="111">
        <v>7</v>
      </c>
      <c r="K25" s="178">
        <v>10</v>
      </c>
      <c r="L25" s="95">
        <v>12</v>
      </c>
      <c r="M25" s="111">
        <v>2</v>
      </c>
      <c r="N25" s="178">
        <v>13</v>
      </c>
      <c r="O25" s="95"/>
      <c r="P25" s="174">
        <v>0</v>
      </c>
      <c r="Q25" s="114"/>
      <c r="R25" s="114" t="s">
        <v>255</v>
      </c>
      <c r="S25" s="114">
        <f>SUM(Q27:T27)</f>
        <v>9</v>
      </c>
      <c r="T25" s="138"/>
      <c r="V25" s="107"/>
      <c r="W25" s="107"/>
      <c r="X25" s="107"/>
      <c r="Y25" s="107"/>
    </row>
    <row r="26" spans="1:25" ht="15.75">
      <c r="A26">
        <v>71</v>
      </c>
      <c r="B26">
        <v>71</v>
      </c>
      <c r="C26" s="157">
        <f t="shared" si="4"/>
        <v>0</v>
      </c>
      <c r="D26" s="157">
        <f t="shared" si="0"/>
        <v>9</v>
      </c>
      <c r="E26" s="129">
        <v>0</v>
      </c>
      <c r="F26" s="95">
        <v>6</v>
      </c>
      <c r="G26" s="111">
        <v>9</v>
      </c>
      <c r="H26" s="178">
        <v>7</v>
      </c>
      <c r="I26" s="112">
        <v>13</v>
      </c>
      <c r="J26" s="111">
        <v>7</v>
      </c>
      <c r="K26" s="178">
        <v>14</v>
      </c>
      <c r="L26" s="95">
        <v>16</v>
      </c>
      <c r="M26" s="111">
        <v>2</v>
      </c>
      <c r="N26" s="178">
        <v>17</v>
      </c>
      <c r="O26" s="95"/>
      <c r="P26" s="174">
        <v>0</v>
      </c>
      <c r="Q26" s="134" t="s">
        <v>127</v>
      </c>
      <c r="R26" s="134" t="s">
        <v>128</v>
      </c>
      <c r="S26" s="134" t="s">
        <v>129</v>
      </c>
      <c r="T26" s="135" t="s">
        <v>130</v>
      </c>
      <c r="V26" s="107"/>
      <c r="W26" s="107"/>
      <c r="X26" s="107"/>
      <c r="Y26" s="107"/>
    </row>
    <row r="27" spans="1:25" ht="16.5" thickBot="1">
      <c r="A27">
        <v>69</v>
      </c>
      <c r="B27">
        <v>69</v>
      </c>
      <c r="C27" s="141">
        <f t="shared" si="4"/>
        <v>0</v>
      </c>
      <c r="D27" s="141">
        <f t="shared" si="0"/>
        <v>9</v>
      </c>
      <c r="E27" s="184">
        <v>0</v>
      </c>
      <c r="F27" s="143">
        <v>7</v>
      </c>
      <c r="G27" s="144">
        <v>9</v>
      </c>
      <c r="H27" s="142">
        <v>8</v>
      </c>
      <c r="I27" s="145">
        <v>9</v>
      </c>
      <c r="J27" s="144">
        <v>7</v>
      </c>
      <c r="K27" s="184">
        <v>10</v>
      </c>
      <c r="L27" s="185">
        <v>14</v>
      </c>
      <c r="M27" s="172">
        <v>2</v>
      </c>
      <c r="N27" s="184">
        <v>15</v>
      </c>
      <c r="O27" s="185"/>
      <c r="P27" s="175">
        <v>0</v>
      </c>
      <c r="Q27" s="136">
        <f>IF(AND(S24&lt;=45,S24&gt;=40),9,0)</f>
        <v>9</v>
      </c>
      <c r="R27" s="136">
        <f>IF(AND(S24&lt;=39,S24&gt;=30),7,0)</f>
        <v>0</v>
      </c>
      <c r="S27" s="136">
        <f>IF(AND(S24&lt;=29,S24&gt;=10),2,0)</f>
        <v>0</v>
      </c>
      <c r="T27" s="137">
        <f>IF(AND(S24&lt;=9,S24&gt;=0),0,0)</f>
        <v>0</v>
      </c>
      <c r="V27" s="107"/>
      <c r="W27" s="107"/>
      <c r="X27" s="107"/>
      <c r="Y27" s="107"/>
    </row>
    <row r="28" spans="1:25" ht="17.25" thickTop="1" thickBot="1">
      <c r="A28">
        <v>63</v>
      </c>
      <c r="B28">
        <v>63</v>
      </c>
      <c r="C28" s="157">
        <f t="shared" ref="C28" si="5">ABS(A28-B28)</f>
        <v>0</v>
      </c>
      <c r="D28" s="157">
        <f t="shared" si="0"/>
        <v>9</v>
      </c>
      <c r="E28" s="129">
        <v>0</v>
      </c>
      <c r="F28" s="95">
        <v>7</v>
      </c>
      <c r="G28" s="111">
        <v>9</v>
      </c>
      <c r="H28" s="178">
        <v>8</v>
      </c>
      <c r="I28" s="112">
        <v>9</v>
      </c>
      <c r="J28" s="111">
        <v>7</v>
      </c>
      <c r="K28" s="178">
        <v>10</v>
      </c>
      <c r="L28" s="95">
        <v>12</v>
      </c>
      <c r="M28" s="111">
        <v>2</v>
      </c>
      <c r="N28" s="178">
        <v>13</v>
      </c>
      <c r="O28" s="95"/>
      <c r="P28" s="174">
        <v>0</v>
      </c>
      <c r="Q28" s="128"/>
      <c r="R28" s="128"/>
      <c r="S28" s="128"/>
      <c r="T28" s="128"/>
      <c r="V28" s="107"/>
      <c r="W28" s="107"/>
      <c r="X28" s="107"/>
      <c r="Y28" s="107"/>
    </row>
    <row r="29" spans="1:25" ht="16.5" thickBot="1">
      <c r="A29">
        <v>60</v>
      </c>
      <c r="B29">
        <v>60</v>
      </c>
      <c r="C29" s="157">
        <f t="shared" ref="C29:C32" si="6">ABS(A29-B29)</f>
        <v>0</v>
      </c>
      <c r="D29" s="157">
        <f t="shared" si="0"/>
        <v>9</v>
      </c>
      <c r="E29" s="129">
        <v>0</v>
      </c>
      <c r="F29" s="95">
        <v>7</v>
      </c>
      <c r="G29" s="111">
        <v>9</v>
      </c>
      <c r="H29" s="178">
        <v>8</v>
      </c>
      <c r="I29" s="112">
        <v>13</v>
      </c>
      <c r="J29" s="111">
        <v>7</v>
      </c>
      <c r="K29" s="178">
        <v>14</v>
      </c>
      <c r="L29" s="95">
        <v>17</v>
      </c>
      <c r="M29" s="111">
        <v>2</v>
      </c>
      <c r="N29" s="178">
        <v>18</v>
      </c>
      <c r="O29" s="95"/>
      <c r="P29" s="174">
        <v>0</v>
      </c>
      <c r="Q29" s="149"/>
      <c r="R29" s="139" t="s">
        <v>254</v>
      </c>
      <c r="S29" s="139">
        <f>SUM(D28:D32)</f>
        <v>45</v>
      </c>
      <c r="T29" s="140"/>
      <c r="V29" s="107"/>
      <c r="W29" s="107"/>
      <c r="X29" s="107"/>
      <c r="Y29" s="107"/>
    </row>
    <row r="30" spans="1:25" ht="16.5" thickTop="1">
      <c r="A30">
        <v>57</v>
      </c>
      <c r="B30">
        <v>57</v>
      </c>
      <c r="C30" s="157">
        <f t="shared" si="6"/>
        <v>0</v>
      </c>
      <c r="D30" s="157">
        <f t="shared" si="0"/>
        <v>9</v>
      </c>
      <c r="E30" s="129">
        <v>0</v>
      </c>
      <c r="F30" s="95">
        <v>7</v>
      </c>
      <c r="G30" s="111">
        <v>9</v>
      </c>
      <c r="H30" s="178">
        <v>8</v>
      </c>
      <c r="I30" s="112">
        <v>13</v>
      </c>
      <c r="J30" s="111">
        <v>7</v>
      </c>
      <c r="K30" s="178">
        <v>14</v>
      </c>
      <c r="L30" s="95">
        <v>17</v>
      </c>
      <c r="M30" s="111">
        <v>2</v>
      </c>
      <c r="N30" s="178">
        <v>18</v>
      </c>
      <c r="O30" s="95"/>
      <c r="P30" s="174">
        <v>0</v>
      </c>
      <c r="Q30" s="114" t="s">
        <v>259</v>
      </c>
      <c r="R30" s="114" t="s">
        <v>255</v>
      </c>
      <c r="S30" s="114">
        <f>SUM(Q32:T32)</f>
        <v>9</v>
      </c>
      <c r="T30" s="138"/>
      <c r="V30" s="107"/>
      <c r="W30" s="107"/>
      <c r="X30" s="107"/>
      <c r="Y30" s="107"/>
    </row>
    <row r="31" spans="1:25" ht="15.75">
      <c r="A31">
        <v>55</v>
      </c>
      <c r="B31">
        <v>55</v>
      </c>
      <c r="C31" s="157">
        <f t="shared" si="6"/>
        <v>0</v>
      </c>
      <c r="D31" s="157">
        <f t="shared" si="0"/>
        <v>9</v>
      </c>
      <c r="E31" s="129">
        <v>0</v>
      </c>
      <c r="F31" s="95">
        <v>7</v>
      </c>
      <c r="G31" s="111">
        <v>9</v>
      </c>
      <c r="H31" s="178">
        <v>8</v>
      </c>
      <c r="I31" s="112">
        <v>13</v>
      </c>
      <c r="J31" s="111">
        <v>7</v>
      </c>
      <c r="K31" s="178">
        <v>14</v>
      </c>
      <c r="L31" s="95">
        <v>17</v>
      </c>
      <c r="M31" s="111">
        <v>2</v>
      </c>
      <c r="N31" s="178">
        <v>18</v>
      </c>
      <c r="O31" s="95"/>
      <c r="P31" s="174">
        <v>0</v>
      </c>
      <c r="Q31" s="134" t="s">
        <v>127</v>
      </c>
      <c r="R31" s="134" t="s">
        <v>128</v>
      </c>
      <c r="S31" s="134" t="s">
        <v>129</v>
      </c>
      <c r="T31" s="135" t="s">
        <v>130</v>
      </c>
      <c r="V31" s="107"/>
      <c r="W31" s="107"/>
      <c r="X31" s="107"/>
      <c r="Y31" s="107"/>
    </row>
    <row r="32" spans="1:25" ht="16.5" thickBot="1">
      <c r="A32">
        <v>54</v>
      </c>
      <c r="B32">
        <v>54</v>
      </c>
      <c r="C32" s="141">
        <f t="shared" si="6"/>
        <v>0</v>
      </c>
      <c r="D32" s="141">
        <f t="shared" si="0"/>
        <v>9</v>
      </c>
      <c r="E32" s="184">
        <v>0</v>
      </c>
      <c r="F32" s="143">
        <v>6</v>
      </c>
      <c r="G32" s="144">
        <v>9</v>
      </c>
      <c r="H32" s="142">
        <v>7</v>
      </c>
      <c r="I32" s="145">
        <v>9</v>
      </c>
      <c r="J32" s="144">
        <v>7</v>
      </c>
      <c r="K32" s="184">
        <v>10</v>
      </c>
      <c r="L32" s="185">
        <v>13</v>
      </c>
      <c r="M32" s="172">
        <v>2</v>
      </c>
      <c r="N32" s="184">
        <v>14</v>
      </c>
      <c r="O32" s="185"/>
      <c r="P32" s="175">
        <v>0</v>
      </c>
      <c r="Q32" s="136">
        <f>IF(AND(S29&lt;=45,S29&gt;=40),9,0)</f>
        <v>9</v>
      </c>
      <c r="R32" s="136">
        <f>IF(AND(S29&lt;=39,S29&gt;=30),7,0)</f>
        <v>0</v>
      </c>
      <c r="S32" s="136">
        <f>IF(AND(S29&lt;=29,S29&gt;=10),2,0)</f>
        <v>0</v>
      </c>
      <c r="T32" s="137">
        <f>IF(AND(S29&lt;=9,S29&gt;=0),0,0)</f>
        <v>0</v>
      </c>
      <c r="V32" s="107"/>
      <c r="W32" s="107"/>
      <c r="X32" s="107"/>
      <c r="Y32" s="107"/>
    </row>
    <row r="33" spans="1:25" ht="16.5" thickTop="1">
      <c r="A33">
        <v>77</v>
      </c>
      <c r="B33">
        <v>77</v>
      </c>
      <c r="C33" s="157">
        <f t="shared" ref="C33" si="7">ABS(A33-B33)</f>
        <v>0</v>
      </c>
      <c r="D33" s="157">
        <f t="shared" si="0"/>
        <v>9</v>
      </c>
      <c r="E33" s="129">
        <v>0</v>
      </c>
      <c r="F33" s="95">
        <v>2</v>
      </c>
      <c r="G33" s="111">
        <v>9</v>
      </c>
      <c r="H33" s="178">
        <v>3</v>
      </c>
      <c r="I33" s="112">
        <v>4</v>
      </c>
      <c r="J33" s="111">
        <v>7</v>
      </c>
      <c r="K33" s="178">
        <v>5</v>
      </c>
      <c r="L33" s="95">
        <v>6</v>
      </c>
      <c r="M33" s="111">
        <v>2</v>
      </c>
      <c r="N33" s="178">
        <v>7</v>
      </c>
      <c r="O33" s="95"/>
      <c r="P33" s="174">
        <v>0</v>
      </c>
      <c r="Q33" s="128"/>
      <c r="R33" s="128"/>
      <c r="S33" s="128"/>
      <c r="T33" s="128"/>
      <c r="V33" s="107"/>
      <c r="W33" s="107"/>
      <c r="X33" s="107"/>
      <c r="Y33" s="107"/>
    </row>
    <row r="34" spans="1:25" ht="16.5" thickBot="1">
      <c r="A34">
        <v>75</v>
      </c>
      <c r="B34">
        <v>75</v>
      </c>
      <c r="C34" s="157">
        <f t="shared" ref="C34" si="8">ABS(A34-B34)</f>
        <v>0</v>
      </c>
      <c r="D34" s="157">
        <f t="shared" si="0"/>
        <v>9</v>
      </c>
      <c r="E34" s="129">
        <v>0</v>
      </c>
      <c r="F34" s="95">
        <v>3</v>
      </c>
      <c r="G34" s="111">
        <v>9</v>
      </c>
      <c r="H34" s="178">
        <v>4</v>
      </c>
      <c r="I34" s="112">
        <v>5</v>
      </c>
      <c r="J34" s="111">
        <v>7</v>
      </c>
      <c r="K34" s="178">
        <v>6</v>
      </c>
      <c r="L34" s="95">
        <v>7</v>
      </c>
      <c r="M34" s="111">
        <v>2</v>
      </c>
      <c r="N34" s="178">
        <v>8</v>
      </c>
      <c r="O34" s="95"/>
      <c r="P34" s="174">
        <v>0</v>
      </c>
      <c r="Q34" s="128"/>
      <c r="R34" s="128"/>
      <c r="S34" s="128"/>
      <c r="T34" s="128"/>
      <c r="V34" s="107"/>
      <c r="W34" s="107"/>
      <c r="X34" s="107"/>
      <c r="Y34" s="107"/>
    </row>
    <row r="35" spans="1:25" ht="16.5" thickBot="1">
      <c r="A35">
        <v>73</v>
      </c>
      <c r="B35">
        <v>73</v>
      </c>
      <c r="C35" s="157">
        <f t="shared" ref="C35:C38" si="9">ABS(A35-B35)</f>
        <v>0</v>
      </c>
      <c r="D35" s="157">
        <f t="shared" ref="D35:D66" si="10">IF(AND(C35&gt;=E35,C35&lt;=F35),G35,IF(AND(C35&gt;=H35,C35&lt;=I35),J35,IF(AND(C35&gt;=K35,C35&lt;=L35),M35,P35)))</f>
        <v>9</v>
      </c>
      <c r="E35" s="129">
        <v>0</v>
      </c>
      <c r="F35" s="95">
        <v>6</v>
      </c>
      <c r="G35" s="111">
        <v>9</v>
      </c>
      <c r="H35" s="178">
        <v>7</v>
      </c>
      <c r="I35" s="112">
        <v>7</v>
      </c>
      <c r="J35" s="111">
        <v>5</v>
      </c>
      <c r="K35" s="178">
        <v>8</v>
      </c>
      <c r="L35" s="95">
        <v>8</v>
      </c>
      <c r="M35" s="111">
        <v>0</v>
      </c>
      <c r="N35" s="178">
        <v>8</v>
      </c>
      <c r="O35" s="95"/>
      <c r="P35" s="174">
        <v>0</v>
      </c>
      <c r="Q35" s="150"/>
      <c r="R35" s="139" t="s">
        <v>254</v>
      </c>
      <c r="S35" s="139">
        <f>SUM(D33:D38)</f>
        <v>54</v>
      </c>
      <c r="T35" s="140"/>
      <c r="V35" s="107"/>
      <c r="W35" s="107"/>
      <c r="X35" s="107"/>
      <c r="Y35" s="107"/>
    </row>
    <row r="36" spans="1:25" ht="16.5" thickTop="1">
      <c r="A36">
        <v>72</v>
      </c>
      <c r="B36">
        <v>72</v>
      </c>
      <c r="C36" s="157">
        <f t="shared" si="9"/>
        <v>0</v>
      </c>
      <c r="D36" s="157">
        <f t="shared" si="10"/>
        <v>9</v>
      </c>
      <c r="E36" s="129">
        <v>0</v>
      </c>
      <c r="F36" s="95">
        <v>5</v>
      </c>
      <c r="G36" s="111">
        <v>9</v>
      </c>
      <c r="H36" s="178">
        <v>6</v>
      </c>
      <c r="I36" s="112">
        <v>7</v>
      </c>
      <c r="J36" s="111">
        <v>9</v>
      </c>
      <c r="K36" s="178">
        <v>8</v>
      </c>
      <c r="L36" s="95">
        <v>8</v>
      </c>
      <c r="M36" s="111">
        <v>5</v>
      </c>
      <c r="N36" s="178">
        <v>8</v>
      </c>
      <c r="O36" s="95"/>
      <c r="P36" s="174">
        <v>0</v>
      </c>
      <c r="Q36" s="114" t="s">
        <v>257</v>
      </c>
      <c r="R36" s="114" t="s">
        <v>255</v>
      </c>
      <c r="S36" s="114">
        <f>SUM(Q38:T38)</f>
        <v>9</v>
      </c>
      <c r="T36" s="138"/>
      <c r="V36" s="107"/>
      <c r="W36" s="107"/>
      <c r="X36" s="107"/>
      <c r="Y36" s="107"/>
    </row>
    <row r="37" spans="1:25" ht="15.75">
      <c r="A37">
        <v>74</v>
      </c>
      <c r="B37">
        <v>74</v>
      </c>
      <c r="C37" s="157">
        <f t="shared" si="9"/>
        <v>0</v>
      </c>
      <c r="D37" s="157">
        <f t="shared" si="10"/>
        <v>9</v>
      </c>
      <c r="E37" s="129">
        <v>0</v>
      </c>
      <c r="F37" s="95">
        <v>4</v>
      </c>
      <c r="G37" s="111">
        <v>9</v>
      </c>
      <c r="H37" s="178">
        <v>5</v>
      </c>
      <c r="I37" s="112">
        <v>6</v>
      </c>
      <c r="J37" s="111">
        <v>5</v>
      </c>
      <c r="K37" s="178">
        <v>6</v>
      </c>
      <c r="L37" s="95">
        <v>6</v>
      </c>
      <c r="M37" s="111">
        <v>0</v>
      </c>
      <c r="N37" s="178">
        <v>6</v>
      </c>
      <c r="O37" s="95"/>
      <c r="P37" s="174">
        <v>0</v>
      </c>
      <c r="Q37" s="134" t="s">
        <v>153</v>
      </c>
      <c r="R37" s="134" t="s">
        <v>154</v>
      </c>
      <c r="S37" s="134" t="s">
        <v>155</v>
      </c>
      <c r="T37" s="135" t="s">
        <v>156</v>
      </c>
      <c r="V37" s="107"/>
      <c r="W37" s="107"/>
      <c r="X37" s="107"/>
      <c r="Y37" s="107"/>
    </row>
    <row r="38" spans="1:25" ht="16.5" thickBot="1">
      <c r="A38">
        <v>76</v>
      </c>
      <c r="B38">
        <v>76</v>
      </c>
      <c r="C38" s="141">
        <f t="shared" si="9"/>
        <v>0</v>
      </c>
      <c r="D38" s="141">
        <f t="shared" si="10"/>
        <v>9</v>
      </c>
      <c r="E38" s="184">
        <v>0</v>
      </c>
      <c r="F38" s="143">
        <v>2</v>
      </c>
      <c r="G38" s="144">
        <v>9</v>
      </c>
      <c r="H38" s="142">
        <v>3</v>
      </c>
      <c r="I38" s="145">
        <v>4</v>
      </c>
      <c r="J38" s="144">
        <v>7</v>
      </c>
      <c r="K38" s="184">
        <v>5</v>
      </c>
      <c r="L38" s="185">
        <v>6</v>
      </c>
      <c r="M38" s="172">
        <v>2</v>
      </c>
      <c r="N38" s="184">
        <v>7</v>
      </c>
      <c r="O38" s="185"/>
      <c r="P38" s="175">
        <v>0</v>
      </c>
      <c r="Q38" s="136">
        <f>IF(AND(S35&lt;=54,S35&gt;=51),9,0)</f>
        <v>9</v>
      </c>
      <c r="R38" s="136">
        <f>IF(AND(S35&lt;=50,S35&gt;=48),8,0)</f>
        <v>0</v>
      </c>
      <c r="S38" s="136">
        <f>IF(AND(S35&lt;=47,S35&gt;=35),7,0)</f>
        <v>0</v>
      </c>
      <c r="T38" s="137">
        <f>IF(AND(S35&lt;=34,S35&gt;=12),2,0)</f>
        <v>0</v>
      </c>
      <c r="V38" s="107"/>
      <c r="W38" s="107"/>
      <c r="X38" s="107"/>
      <c r="Y38" s="107"/>
    </row>
    <row r="39" spans="1:25" ht="16.5" thickTop="1">
      <c r="A39">
        <v>64</v>
      </c>
      <c r="B39">
        <v>64</v>
      </c>
      <c r="C39" s="157">
        <f t="shared" ref="C39" si="11">ABS(A39-B39)</f>
        <v>0</v>
      </c>
      <c r="D39" s="157">
        <f t="shared" si="10"/>
        <v>9</v>
      </c>
      <c r="E39" s="129">
        <v>0</v>
      </c>
      <c r="F39" s="95">
        <v>4</v>
      </c>
      <c r="G39" s="111">
        <v>9</v>
      </c>
      <c r="H39" s="178">
        <v>5</v>
      </c>
      <c r="I39" s="112">
        <v>5</v>
      </c>
      <c r="J39" s="111">
        <v>7</v>
      </c>
      <c r="K39" s="178">
        <v>6</v>
      </c>
      <c r="L39" s="95">
        <v>8</v>
      </c>
      <c r="M39" s="111">
        <v>2</v>
      </c>
      <c r="N39" s="178">
        <v>9</v>
      </c>
      <c r="O39" s="95"/>
      <c r="P39" s="174">
        <v>0</v>
      </c>
      <c r="Q39" s="128"/>
      <c r="R39" s="128"/>
      <c r="S39" s="128"/>
      <c r="T39" s="128"/>
      <c r="V39" s="107"/>
      <c r="W39" s="107"/>
      <c r="X39" s="107"/>
      <c r="Y39" s="107"/>
    </row>
    <row r="40" spans="1:25" ht="16.5" thickBot="1">
      <c r="A40">
        <v>61</v>
      </c>
      <c r="B40">
        <v>61</v>
      </c>
      <c r="C40" s="157">
        <f t="shared" ref="C40" si="12">ABS(A40-B40)</f>
        <v>0</v>
      </c>
      <c r="D40" s="157">
        <f t="shared" si="10"/>
        <v>9</v>
      </c>
      <c r="E40" s="129">
        <v>0</v>
      </c>
      <c r="F40" s="95">
        <v>5</v>
      </c>
      <c r="G40" s="111">
        <v>9</v>
      </c>
      <c r="H40" s="178">
        <v>6</v>
      </c>
      <c r="I40" s="112">
        <v>9</v>
      </c>
      <c r="J40" s="111">
        <v>7</v>
      </c>
      <c r="K40" s="178">
        <v>10</v>
      </c>
      <c r="L40" s="95">
        <v>12</v>
      </c>
      <c r="M40" s="111">
        <v>2</v>
      </c>
      <c r="N40" s="178">
        <v>13</v>
      </c>
      <c r="O40" s="95"/>
      <c r="P40" s="174">
        <v>0</v>
      </c>
      <c r="Q40" s="128"/>
      <c r="R40" s="128"/>
      <c r="S40" s="128"/>
      <c r="T40" s="128"/>
      <c r="V40" s="107"/>
      <c r="W40" s="107"/>
      <c r="X40" s="107"/>
      <c r="Y40" s="107"/>
    </row>
    <row r="41" spans="1:25" ht="16.5" thickBot="1">
      <c r="A41">
        <v>59</v>
      </c>
      <c r="B41">
        <v>59</v>
      </c>
      <c r="C41" s="157">
        <f t="shared" ref="C41:C44" si="13">ABS(A41-B41)</f>
        <v>0</v>
      </c>
      <c r="D41" s="157">
        <f t="shared" si="10"/>
        <v>9</v>
      </c>
      <c r="E41" s="129">
        <v>0</v>
      </c>
      <c r="F41" s="95">
        <v>5</v>
      </c>
      <c r="G41" s="111">
        <v>9</v>
      </c>
      <c r="H41" s="178">
        <v>6</v>
      </c>
      <c r="I41" s="112">
        <v>9</v>
      </c>
      <c r="J41" s="111">
        <v>7</v>
      </c>
      <c r="K41" s="178">
        <v>10</v>
      </c>
      <c r="L41" s="95">
        <v>13</v>
      </c>
      <c r="M41" s="111">
        <v>2</v>
      </c>
      <c r="N41" s="178">
        <v>14</v>
      </c>
      <c r="O41" s="95"/>
      <c r="P41" s="174">
        <v>0</v>
      </c>
      <c r="Q41" s="150"/>
      <c r="R41" s="139" t="s">
        <v>254</v>
      </c>
      <c r="S41" s="139">
        <f>SUM(D39:D44)</f>
        <v>54</v>
      </c>
      <c r="T41" s="140"/>
      <c r="V41" s="107"/>
      <c r="W41" s="107"/>
      <c r="X41" s="107"/>
      <c r="Y41" s="107"/>
    </row>
    <row r="42" spans="1:25" ht="16.5" thickTop="1">
      <c r="A42">
        <v>58</v>
      </c>
      <c r="B42">
        <v>58</v>
      </c>
      <c r="C42" s="157">
        <f t="shared" si="13"/>
        <v>0</v>
      </c>
      <c r="D42" s="157">
        <f t="shared" si="10"/>
        <v>9</v>
      </c>
      <c r="E42" s="129">
        <v>0</v>
      </c>
      <c r="F42" s="95">
        <v>5</v>
      </c>
      <c r="G42" s="111">
        <v>9</v>
      </c>
      <c r="H42" s="178">
        <v>6</v>
      </c>
      <c r="I42" s="112">
        <v>9</v>
      </c>
      <c r="J42" s="111">
        <v>7</v>
      </c>
      <c r="K42" s="178">
        <v>10</v>
      </c>
      <c r="L42" s="95">
        <v>12</v>
      </c>
      <c r="M42" s="111">
        <v>2</v>
      </c>
      <c r="N42" s="178">
        <v>13</v>
      </c>
      <c r="O42" s="95"/>
      <c r="P42" s="174">
        <v>0</v>
      </c>
      <c r="Q42" s="114" t="s">
        <v>258</v>
      </c>
      <c r="R42" s="114" t="s">
        <v>255</v>
      </c>
      <c r="S42" s="114">
        <f>SUM(Q44:T44)</f>
        <v>9</v>
      </c>
      <c r="T42" s="138"/>
      <c r="V42" s="107"/>
      <c r="W42" s="107"/>
      <c r="X42" s="107"/>
      <c r="Y42" s="107"/>
    </row>
    <row r="43" spans="1:25" ht="15.75">
      <c r="A43">
        <v>60</v>
      </c>
      <c r="B43">
        <v>60</v>
      </c>
      <c r="C43" s="157">
        <f t="shared" si="13"/>
        <v>0</v>
      </c>
      <c r="D43" s="157">
        <f t="shared" si="10"/>
        <v>9</v>
      </c>
      <c r="E43" s="129">
        <v>0</v>
      </c>
      <c r="F43" s="95">
        <v>4</v>
      </c>
      <c r="G43" s="111">
        <v>9</v>
      </c>
      <c r="H43" s="178">
        <v>5</v>
      </c>
      <c r="I43" s="112">
        <v>9</v>
      </c>
      <c r="J43" s="111">
        <v>7</v>
      </c>
      <c r="K43" s="178">
        <v>10</v>
      </c>
      <c r="L43" s="95">
        <v>11</v>
      </c>
      <c r="M43" s="111">
        <v>2</v>
      </c>
      <c r="N43" s="178">
        <v>12</v>
      </c>
      <c r="O43" s="95"/>
      <c r="P43" s="174">
        <v>0</v>
      </c>
      <c r="Q43" s="134" t="s">
        <v>153</v>
      </c>
      <c r="R43" s="134" t="s">
        <v>154</v>
      </c>
      <c r="S43" s="134" t="s">
        <v>180</v>
      </c>
      <c r="T43" s="135" t="s">
        <v>181</v>
      </c>
      <c r="V43" s="107"/>
      <c r="W43" s="107"/>
      <c r="X43" s="107"/>
      <c r="Y43" s="107"/>
    </row>
    <row r="44" spans="1:25" ht="16.5" thickBot="1">
      <c r="A44">
        <v>62</v>
      </c>
      <c r="B44">
        <v>62</v>
      </c>
      <c r="C44" s="141">
        <f t="shared" si="13"/>
        <v>0</v>
      </c>
      <c r="D44" s="141">
        <f t="shared" si="10"/>
        <v>9</v>
      </c>
      <c r="E44" s="184">
        <v>0</v>
      </c>
      <c r="F44" s="143">
        <v>4</v>
      </c>
      <c r="G44" s="144">
        <v>9</v>
      </c>
      <c r="H44" s="142">
        <v>5</v>
      </c>
      <c r="I44" s="145">
        <v>9</v>
      </c>
      <c r="J44" s="144">
        <v>7</v>
      </c>
      <c r="K44" s="184">
        <v>10</v>
      </c>
      <c r="L44" s="185">
        <v>11</v>
      </c>
      <c r="M44" s="172">
        <v>2</v>
      </c>
      <c r="N44" s="184">
        <v>12</v>
      </c>
      <c r="O44" s="185"/>
      <c r="P44" s="175">
        <v>0</v>
      </c>
      <c r="Q44" s="136">
        <f>IF(AND(S41&lt;=54,S41&gt;=51),9,0)</f>
        <v>9</v>
      </c>
      <c r="R44" s="136">
        <f>IF(AND(S41&lt;=50,S41&gt;=48),8,0)</f>
        <v>0</v>
      </c>
      <c r="S44" s="136">
        <f>IF(AND(S41&lt;=47,S41&gt;=41),7,0)</f>
        <v>0</v>
      </c>
      <c r="T44" s="137">
        <f>IF(AND(S41&lt;=40,S41&gt;=12),2,0)</f>
        <v>0</v>
      </c>
      <c r="V44" s="107"/>
      <c r="W44" s="107"/>
      <c r="X44" s="107"/>
      <c r="Y44" s="107"/>
    </row>
    <row r="45" spans="1:25" ht="16.5" thickTop="1">
      <c r="A45">
        <v>68</v>
      </c>
      <c r="B45">
        <v>68</v>
      </c>
      <c r="C45" s="157">
        <f t="shared" ref="C45" si="14">ABS(A45-B45)</f>
        <v>0</v>
      </c>
      <c r="D45" s="157">
        <f t="shared" si="10"/>
        <v>9</v>
      </c>
      <c r="E45" s="129">
        <v>0</v>
      </c>
      <c r="F45" s="95">
        <v>6</v>
      </c>
      <c r="G45" s="111">
        <v>9</v>
      </c>
      <c r="H45" s="178">
        <v>7</v>
      </c>
      <c r="I45" s="112">
        <v>7</v>
      </c>
      <c r="J45" s="111">
        <v>7</v>
      </c>
      <c r="K45" s="178">
        <v>8</v>
      </c>
      <c r="L45" s="95">
        <v>10</v>
      </c>
      <c r="M45" s="111">
        <v>2</v>
      </c>
      <c r="N45" s="178">
        <v>11</v>
      </c>
      <c r="O45" s="95"/>
      <c r="P45" s="174">
        <v>0</v>
      </c>
      <c r="Q45" s="128"/>
      <c r="R45" s="128"/>
      <c r="S45" s="128"/>
      <c r="T45" s="128"/>
      <c r="V45" s="107"/>
      <c r="W45" s="107"/>
      <c r="X45" s="107"/>
      <c r="Y45" s="107"/>
    </row>
    <row r="46" spans="1:25" ht="15.75">
      <c r="A46">
        <v>69</v>
      </c>
      <c r="B46">
        <v>69</v>
      </c>
      <c r="C46" s="157">
        <f t="shared" ref="C46" si="15">ABS(A46-B46)</f>
        <v>0</v>
      </c>
      <c r="D46" s="157">
        <f t="shared" si="10"/>
        <v>9</v>
      </c>
      <c r="E46" s="129">
        <v>0</v>
      </c>
      <c r="F46" s="95">
        <v>5</v>
      </c>
      <c r="G46" s="111">
        <v>9</v>
      </c>
      <c r="H46" s="178">
        <v>6</v>
      </c>
      <c r="I46" s="112">
        <v>6</v>
      </c>
      <c r="J46" s="111">
        <v>7</v>
      </c>
      <c r="K46" s="178">
        <v>7</v>
      </c>
      <c r="L46" s="95">
        <v>7</v>
      </c>
      <c r="M46" s="111">
        <v>2</v>
      </c>
      <c r="N46" s="178">
        <v>8</v>
      </c>
      <c r="O46" s="95"/>
      <c r="P46" s="174">
        <v>0</v>
      </c>
      <c r="Q46" s="128"/>
      <c r="R46" s="128"/>
      <c r="S46" s="128"/>
      <c r="T46" s="128"/>
      <c r="V46" s="107"/>
      <c r="W46" s="107"/>
      <c r="X46" s="107"/>
      <c r="Y46" s="107"/>
    </row>
    <row r="47" spans="1:25" ht="15.75">
      <c r="A47">
        <v>70</v>
      </c>
      <c r="B47">
        <v>70</v>
      </c>
      <c r="C47" s="157">
        <f t="shared" ref="C47:C53" si="16">ABS(A47-B47)</f>
        <v>0</v>
      </c>
      <c r="D47" s="157">
        <f t="shared" si="10"/>
        <v>9</v>
      </c>
      <c r="E47" s="129">
        <v>0</v>
      </c>
      <c r="F47" s="95">
        <v>6</v>
      </c>
      <c r="G47" s="111">
        <v>9</v>
      </c>
      <c r="H47" s="178">
        <v>7</v>
      </c>
      <c r="I47" s="112">
        <v>7</v>
      </c>
      <c r="J47" s="111">
        <v>8</v>
      </c>
      <c r="K47" s="178">
        <v>7</v>
      </c>
      <c r="L47" s="95">
        <v>7</v>
      </c>
      <c r="M47" s="111">
        <v>2</v>
      </c>
      <c r="N47" s="178">
        <v>9</v>
      </c>
      <c r="O47" s="95"/>
      <c r="P47" s="174">
        <v>0</v>
      </c>
      <c r="Q47" s="128"/>
      <c r="R47" s="128"/>
      <c r="S47" s="128"/>
      <c r="T47" s="128"/>
      <c r="V47" s="107"/>
      <c r="W47" s="107"/>
      <c r="X47" s="107"/>
      <c r="Y47" s="107"/>
    </row>
    <row r="48" spans="1:25" ht="15.75">
      <c r="A48">
        <v>72</v>
      </c>
      <c r="B48">
        <v>72</v>
      </c>
      <c r="C48" s="157">
        <f t="shared" si="16"/>
        <v>0</v>
      </c>
      <c r="D48" s="157">
        <f t="shared" si="10"/>
        <v>9</v>
      </c>
      <c r="E48" s="129">
        <v>0</v>
      </c>
      <c r="F48" s="95">
        <v>5</v>
      </c>
      <c r="G48" s="111">
        <v>9</v>
      </c>
      <c r="H48" s="178">
        <v>6</v>
      </c>
      <c r="I48" s="112">
        <v>6</v>
      </c>
      <c r="J48" s="111">
        <v>5</v>
      </c>
      <c r="K48" s="178">
        <v>7</v>
      </c>
      <c r="L48" s="95">
        <v>7</v>
      </c>
      <c r="M48" s="111">
        <v>2</v>
      </c>
      <c r="N48" s="178">
        <v>8</v>
      </c>
      <c r="O48" s="95"/>
      <c r="P48" s="174">
        <v>0</v>
      </c>
      <c r="Q48" s="128"/>
      <c r="R48" s="128"/>
      <c r="S48" s="128"/>
      <c r="T48" s="128"/>
      <c r="V48" s="107"/>
      <c r="W48" s="107"/>
      <c r="X48" s="107"/>
      <c r="Y48" s="107"/>
    </row>
    <row r="49" spans="1:25" ht="16.5" thickBot="1">
      <c r="A49">
        <v>75</v>
      </c>
      <c r="B49">
        <v>75</v>
      </c>
      <c r="C49" s="157">
        <f t="shared" si="16"/>
        <v>0</v>
      </c>
      <c r="D49" s="157">
        <f t="shared" si="10"/>
        <v>9</v>
      </c>
      <c r="E49" s="129">
        <v>0</v>
      </c>
      <c r="F49" s="95">
        <v>2</v>
      </c>
      <c r="G49" s="111">
        <v>9</v>
      </c>
      <c r="H49" s="178">
        <v>3</v>
      </c>
      <c r="I49" s="112">
        <v>4</v>
      </c>
      <c r="J49" s="111">
        <v>7</v>
      </c>
      <c r="K49" s="178">
        <v>5</v>
      </c>
      <c r="L49" s="95">
        <v>6</v>
      </c>
      <c r="M49" s="111">
        <v>2</v>
      </c>
      <c r="N49" s="178">
        <v>7</v>
      </c>
      <c r="O49" s="95"/>
      <c r="P49" s="174">
        <v>0</v>
      </c>
      <c r="Q49" s="128"/>
      <c r="R49" s="128"/>
      <c r="S49" s="128"/>
      <c r="T49" s="128"/>
      <c r="V49" s="107"/>
      <c r="W49" s="107"/>
      <c r="X49" s="107"/>
      <c r="Y49" s="107"/>
    </row>
    <row r="50" spans="1:25" ht="16.5" thickBot="1">
      <c r="A50">
        <v>74</v>
      </c>
      <c r="B50">
        <v>74</v>
      </c>
      <c r="C50" s="157">
        <f t="shared" si="16"/>
        <v>0</v>
      </c>
      <c r="D50" s="157">
        <f t="shared" si="10"/>
        <v>9</v>
      </c>
      <c r="E50" s="129">
        <v>0</v>
      </c>
      <c r="F50" s="95">
        <v>2</v>
      </c>
      <c r="G50" s="111">
        <v>9</v>
      </c>
      <c r="H50" s="178">
        <v>3</v>
      </c>
      <c r="I50" s="112">
        <v>4</v>
      </c>
      <c r="J50" s="111">
        <v>7</v>
      </c>
      <c r="K50" s="178">
        <v>5</v>
      </c>
      <c r="L50" s="95">
        <v>6</v>
      </c>
      <c r="M50" s="111">
        <v>2</v>
      </c>
      <c r="N50" s="178">
        <v>7</v>
      </c>
      <c r="O50" s="95"/>
      <c r="P50" s="174">
        <v>0</v>
      </c>
      <c r="Q50" s="150"/>
      <c r="R50" s="139" t="s">
        <v>254</v>
      </c>
      <c r="S50" s="139">
        <f>SUM(D45:D53)</f>
        <v>81</v>
      </c>
      <c r="T50" s="140"/>
      <c r="V50" s="107"/>
      <c r="W50" s="107"/>
      <c r="X50" s="107"/>
      <c r="Y50" s="107"/>
    </row>
    <row r="51" spans="1:25" ht="16.5" thickTop="1">
      <c r="A51">
        <v>72</v>
      </c>
      <c r="B51">
        <v>72</v>
      </c>
      <c r="C51" s="157">
        <f t="shared" si="16"/>
        <v>0</v>
      </c>
      <c r="D51" s="157">
        <f t="shared" si="10"/>
        <v>9</v>
      </c>
      <c r="E51" s="129">
        <v>0</v>
      </c>
      <c r="F51" s="95">
        <v>3</v>
      </c>
      <c r="G51" s="111">
        <v>9</v>
      </c>
      <c r="H51" s="178">
        <v>4</v>
      </c>
      <c r="I51" s="112">
        <v>4</v>
      </c>
      <c r="J51" s="111">
        <v>7</v>
      </c>
      <c r="K51" s="178">
        <v>5</v>
      </c>
      <c r="L51" s="95">
        <v>5</v>
      </c>
      <c r="M51" s="111">
        <v>2</v>
      </c>
      <c r="N51" s="178">
        <v>6</v>
      </c>
      <c r="O51" s="95"/>
      <c r="P51" s="174">
        <v>0</v>
      </c>
      <c r="Q51" s="114" t="s">
        <v>260</v>
      </c>
      <c r="R51" s="114" t="s">
        <v>255</v>
      </c>
      <c r="S51" s="114">
        <f>SUM(Q53:T53)</f>
        <v>9</v>
      </c>
      <c r="T51" s="138"/>
      <c r="V51" s="107"/>
      <c r="W51" s="107"/>
      <c r="X51" s="107"/>
      <c r="Y51" s="107"/>
    </row>
    <row r="52" spans="1:25" ht="15.75">
      <c r="A52">
        <v>70</v>
      </c>
      <c r="B52">
        <v>70</v>
      </c>
      <c r="C52" s="157">
        <f t="shared" si="16"/>
        <v>0</v>
      </c>
      <c r="D52" s="157">
        <f t="shared" si="10"/>
        <v>9</v>
      </c>
      <c r="E52" s="129">
        <v>0</v>
      </c>
      <c r="F52" s="95">
        <v>6</v>
      </c>
      <c r="G52" s="111">
        <v>9</v>
      </c>
      <c r="H52" s="178">
        <v>7</v>
      </c>
      <c r="I52" s="112">
        <v>7</v>
      </c>
      <c r="J52" s="111">
        <v>9</v>
      </c>
      <c r="K52" s="178">
        <v>7</v>
      </c>
      <c r="L52" s="95">
        <v>7</v>
      </c>
      <c r="M52" s="111">
        <v>9</v>
      </c>
      <c r="N52" s="178">
        <v>7</v>
      </c>
      <c r="O52" s="95"/>
      <c r="P52" s="174">
        <v>0</v>
      </c>
      <c r="Q52" s="165" t="s">
        <v>209</v>
      </c>
      <c r="R52" s="165" t="s">
        <v>210</v>
      </c>
      <c r="S52" s="165" t="s">
        <v>211</v>
      </c>
      <c r="T52" s="166" t="s">
        <v>212</v>
      </c>
      <c r="V52" s="107"/>
      <c r="W52" s="107"/>
      <c r="X52" s="107"/>
      <c r="Y52" s="107"/>
    </row>
    <row r="53" spans="1:25" ht="16.5" thickBot="1">
      <c r="A53">
        <v>69</v>
      </c>
      <c r="B53">
        <v>69</v>
      </c>
      <c r="C53" s="141">
        <f t="shared" si="16"/>
        <v>0</v>
      </c>
      <c r="D53" s="141">
        <f t="shared" si="10"/>
        <v>9</v>
      </c>
      <c r="E53" s="184">
        <v>0</v>
      </c>
      <c r="F53" s="143">
        <v>3</v>
      </c>
      <c r="G53" s="144">
        <v>9</v>
      </c>
      <c r="H53" s="142">
        <v>4</v>
      </c>
      <c r="I53" s="145">
        <v>4</v>
      </c>
      <c r="J53" s="144">
        <v>7</v>
      </c>
      <c r="K53" s="184">
        <v>5</v>
      </c>
      <c r="L53" s="185">
        <v>5</v>
      </c>
      <c r="M53" s="172">
        <v>2</v>
      </c>
      <c r="N53" s="184">
        <v>6</v>
      </c>
      <c r="O53" s="185"/>
      <c r="P53" s="175">
        <v>0</v>
      </c>
      <c r="Q53" s="136">
        <f>IF(AND(S50&lt;=81,S50&gt;=59),9,0)</f>
        <v>9</v>
      </c>
      <c r="R53" s="136">
        <f>IF(AND(S50&lt;=58,S50&gt;=54),8,0)</f>
        <v>0</v>
      </c>
      <c r="S53" s="136">
        <f>IF(AND(S50&lt;=53,S50&gt;=20),2,0)</f>
        <v>0</v>
      </c>
      <c r="T53" s="137">
        <f>IF(AND(S50&lt;=19,S50&gt;=0),0,0)</f>
        <v>0</v>
      </c>
      <c r="V53" s="107"/>
      <c r="W53" s="107"/>
      <c r="X53" s="107"/>
      <c r="Y53" s="107"/>
    </row>
    <row r="54" spans="1:25" ht="16.5" thickTop="1">
      <c r="A54">
        <v>81</v>
      </c>
      <c r="B54">
        <v>81</v>
      </c>
      <c r="C54" s="157">
        <f t="shared" ref="C54" si="17">ABS(A54-B54)</f>
        <v>0</v>
      </c>
      <c r="D54" s="157">
        <f t="shared" si="10"/>
        <v>9</v>
      </c>
      <c r="E54" s="129">
        <v>0</v>
      </c>
      <c r="F54" s="95">
        <v>2</v>
      </c>
      <c r="G54" s="111">
        <v>9</v>
      </c>
      <c r="H54" s="178">
        <v>3</v>
      </c>
      <c r="I54" s="112">
        <v>4</v>
      </c>
      <c r="J54" s="111">
        <v>7</v>
      </c>
      <c r="K54" s="178">
        <v>5</v>
      </c>
      <c r="L54" s="95">
        <v>6</v>
      </c>
      <c r="M54" s="111">
        <v>2</v>
      </c>
      <c r="N54" s="178">
        <v>7</v>
      </c>
      <c r="O54" s="95"/>
      <c r="P54" s="174">
        <v>0</v>
      </c>
      <c r="Q54" s="128"/>
      <c r="R54" s="128"/>
      <c r="S54" s="128"/>
      <c r="T54" s="128"/>
      <c r="V54" s="107"/>
      <c r="W54" s="107"/>
      <c r="X54" s="107"/>
      <c r="Y54" s="107"/>
    </row>
    <row r="55" spans="1:25" ht="15.75">
      <c r="A55">
        <v>82</v>
      </c>
      <c r="B55">
        <v>82</v>
      </c>
      <c r="C55" s="157">
        <f t="shared" ref="C55" si="18">ABS(A55-B55)</f>
        <v>0</v>
      </c>
      <c r="D55" s="157">
        <f t="shared" si="10"/>
        <v>9</v>
      </c>
      <c r="E55" s="129">
        <v>0</v>
      </c>
      <c r="F55" s="95">
        <v>2</v>
      </c>
      <c r="G55" s="111">
        <v>9</v>
      </c>
      <c r="H55" s="178">
        <v>3</v>
      </c>
      <c r="I55" s="112">
        <v>4</v>
      </c>
      <c r="J55" s="111">
        <v>7</v>
      </c>
      <c r="K55" s="178">
        <v>5</v>
      </c>
      <c r="L55" s="95">
        <v>6</v>
      </c>
      <c r="M55" s="111">
        <v>2</v>
      </c>
      <c r="N55" s="178">
        <v>7</v>
      </c>
      <c r="O55" s="95"/>
      <c r="P55" s="174">
        <v>0</v>
      </c>
      <c r="Q55" s="128"/>
      <c r="R55" s="128"/>
      <c r="S55" s="128"/>
      <c r="T55" s="128"/>
      <c r="V55" s="107"/>
      <c r="W55" s="107"/>
      <c r="X55" s="107"/>
      <c r="Y55" s="107"/>
    </row>
    <row r="56" spans="1:25" ht="15.75">
      <c r="A56">
        <v>83</v>
      </c>
      <c r="B56">
        <v>83</v>
      </c>
      <c r="C56" s="157">
        <f t="shared" ref="C56:C70" si="19">ABS(A56-B56)</f>
        <v>0</v>
      </c>
      <c r="D56" s="157">
        <f t="shared" si="10"/>
        <v>9</v>
      </c>
      <c r="E56" s="129">
        <v>0</v>
      </c>
      <c r="F56" s="95">
        <v>2</v>
      </c>
      <c r="G56" s="111">
        <v>9</v>
      </c>
      <c r="H56" s="178">
        <v>3</v>
      </c>
      <c r="I56" s="112">
        <v>4</v>
      </c>
      <c r="J56" s="111">
        <v>7</v>
      </c>
      <c r="K56" s="178">
        <v>5</v>
      </c>
      <c r="L56" s="95">
        <v>6</v>
      </c>
      <c r="M56" s="111">
        <v>2</v>
      </c>
      <c r="N56" s="178">
        <v>7</v>
      </c>
      <c r="O56" s="95"/>
      <c r="P56" s="174">
        <v>0</v>
      </c>
      <c r="Q56" s="128"/>
      <c r="R56" s="128"/>
      <c r="S56" s="128"/>
      <c r="T56" s="128"/>
      <c r="V56" s="107"/>
      <c r="W56" s="107"/>
      <c r="X56" s="107"/>
      <c r="Y56" s="107"/>
    </row>
    <row r="57" spans="1:25" ht="15.75">
      <c r="A57">
        <v>83</v>
      </c>
      <c r="B57">
        <v>83</v>
      </c>
      <c r="C57" s="157">
        <f t="shared" si="19"/>
        <v>0</v>
      </c>
      <c r="D57" s="157">
        <f t="shared" si="10"/>
        <v>9</v>
      </c>
      <c r="E57" s="129">
        <v>0</v>
      </c>
      <c r="F57" s="95">
        <v>2</v>
      </c>
      <c r="G57" s="111">
        <v>9</v>
      </c>
      <c r="H57" s="178">
        <v>3</v>
      </c>
      <c r="I57" s="112">
        <v>4</v>
      </c>
      <c r="J57" s="111">
        <v>7</v>
      </c>
      <c r="K57" s="178">
        <v>5</v>
      </c>
      <c r="L57" s="95">
        <v>6</v>
      </c>
      <c r="M57" s="111">
        <v>2</v>
      </c>
      <c r="N57" s="178">
        <v>7</v>
      </c>
      <c r="O57" s="95"/>
      <c r="P57" s="174">
        <v>0</v>
      </c>
      <c r="Q57" s="128"/>
      <c r="R57" s="128"/>
      <c r="S57" s="128"/>
      <c r="T57" s="128"/>
      <c r="V57" s="107"/>
      <c r="W57" s="107"/>
      <c r="X57" s="107"/>
      <c r="Y57" s="107"/>
    </row>
    <row r="58" spans="1:25" ht="15.75">
      <c r="A58">
        <v>82</v>
      </c>
      <c r="B58">
        <v>82</v>
      </c>
      <c r="C58" s="157">
        <f t="shared" si="19"/>
        <v>0</v>
      </c>
      <c r="D58" s="157">
        <f t="shared" si="10"/>
        <v>9</v>
      </c>
      <c r="E58" s="129">
        <v>0</v>
      </c>
      <c r="F58" s="95">
        <v>2</v>
      </c>
      <c r="G58" s="111">
        <v>9</v>
      </c>
      <c r="H58" s="178">
        <v>3</v>
      </c>
      <c r="I58" s="112">
        <v>4</v>
      </c>
      <c r="J58" s="111">
        <v>7</v>
      </c>
      <c r="K58" s="178">
        <v>5</v>
      </c>
      <c r="L58" s="95">
        <v>6</v>
      </c>
      <c r="M58" s="111">
        <v>2</v>
      </c>
      <c r="N58" s="178">
        <v>7</v>
      </c>
      <c r="O58" s="95"/>
      <c r="P58" s="174">
        <v>0</v>
      </c>
      <c r="Q58" s="128"/>
      <c r="R58" s="128"/>
      <c r="S58" s="128"/>
      <c r="T58" s="128"/>
      <c r="V58" s="107"/>
      <c r="W58" s="107"/>
      <c r="X58" s="107"/>
      <c r="Y58" s="107"/>
    </row>
    <row r="59" spans="1:25" ht="15.75">
      <c r="A59">
        <v>81</v>
      </c>
      <c r="B59">
        <v>81</v>
      </c>
      <c r="C59" s="157">
        <f t="shared" si="19"/>
        <v>0</v>
      </c>
      <c r="D59" s="157">
        <f t="shared" si="10"/>
        <v>9</v>
      </c>
      <c r="E59" s="129">
        <v>0</v>
      </c>
      <c r="F59" s="95">
        <v>2</v>
      </c>
      <c r="G59" s="111">
        <v>9</v>
      </c>
      <c r="H59" s="178">
        <v>3</v>
      </c>
      <c r="I59" s="112">
        <v>4</v>
      </c>
      <c r="J59" s="111">
        <v>7</v>
      </c>
      <c r="K59" s="178">
        <v>5</v>
      </c>
      <c r="L59" s="95">
        <v>6</v>
      </c>
      <c r="M59" s="111">
        <v>2</v>
      </c>
      <c r="N59" s="178">
        <v>7</v>
      </c>
      <c r="O59" s="95"/>
      <c r="P59" s="174">
        <v>0</v>
      </c>
      <c r="Q59" s="128"/>
      <c r="R59" s="128"/>
      <c r="S59" s="128"/>
      <c r="T59" s="128"/>
      <c r="V59" s="107"/>
      <c r="W59" s="107"/>
      <c r="X59" s="107"/>
      <c r="Y59" s="107"/>
    </row>
    <row r="60" spans="1:25" ht="15.75">
      <c r="A60">
        <v>79</v>
      </c>
      <c r="B60">
        <v>79</v>
      </c>
      <c r="C60" s="157">
        <f t="shared" si="19"/>
        <v>0</v>
      </c>
      <c r="D60" s="157">
        <f t="shared" si="10"/>
        <v>9</v>
      </c>
      <c r="E60" s="129">
        <v>0</v>
      </c>
      <c r="F60" s="95">
        <v>3</v>
      </c>
      <c r="G60" s="111">
        <v>9</v>
      </c>
      <c r="H60" s="178">
        <v>4</v>
      </c>
      <c r="I60" s="112">
        <v>4</v>
      </c>
      <c r="J60" s="111">
        <v>7</v>
      </c>
      <c r="K60" s="178">
        <v>5</v>
      </c>
      <c r="L60" s="95">
        <v>5</v>
      </c>
      <c r="M60" s="111">
        <v>2</v>
      </c>
      <c r="N60" s="178">
        <v>6</v>
      </c>
      <c r="O60" s="95"/>
      <c r="P60" s="174">
        <v>0</v>
      </c>
      <c r="Q60" s="128"/>
      <c r="R60" s="128"/>
      <c r="S60" s="128"/>
      <c r="T60" s="128"/>
      <c r="V60" s="107"/>
      <c r="W60" s="107"/>
      <c r="X60" s="107"/>
      <c r="Y60" s="107"/>
    </row>
    <row r="61" spans="1:25" ht="15.75">
      <c r="A61">
        <v>78</v>
      </c>
      <c r="B61">
        <v>78</v>
      </c>
      <c r="C61" s="157">
        <f t="shared" si="19"/>
        <v>0</v>
      </c>
      <c r="D61" s="157">
        <f t="shared" si="10"/>
        <v>9</v>
      </c>
      <c r="E61" s="129">
        <v>0</v>
      </c>
      <c r="F61" s="95">
        <v>3</v>
      </c>
      <c r="G61" s="111">
        <v>9</v>
      </c>
      <c r="H61" s="178">
        <v>4</v>
      </c>
      <c r="I61" s="112">
        <v>4</v>
      </c>
      <c r="J61" s="111">
        <v>7</v>
      </c>
      <c r="K61" s="178">
        <v>5</v>
      </c>
      <c r="L61" s="95">
        <v>5</v>
      </c>
      <c r="M61" s="111">
        <v>2</v>
      </c>
      <c r="N61" s="178">
        <v>6</v>
      </c>
      <c r="O61" s="95"/>
      <c r="P61" s="174">
        <v>0</v>
      </c>
      <c r="Q61" s="128"/>
      <c r="R61" s="128"/>
      <c r="S61" s="128"/>
      <c r="T61" s="128"/>
      <c r="V61" s="107"/>
      <c r="W61" s="107"/>
      <c r="X61" s="107"/>
      <c r="Y61" s="107"/>
    </row>
    <row r="62" spans="1:25" ht="15.75">
      <c r="A62">
        <v>75</v>
      </c>
      <c r="B62">
        <v>75</v>
      </c>
      <c r="C62" s="157">
        <f t="shared" si="19"/>
        <v>0</v>
      </c>
      <c r="D62" s="157">
        <f t="shared" si="10"/>
        <v>9</v>
      </c>
      <c r="E62" s="129">
        <v>0</v>
      </c>
      <c r="F62" s="95">
        <v>2</v>
      </c>
      <c r="G62" s="111">
        <v>9</v>
      </c>
      <c r="H62" s="178">
        <v>3</v>
      </c>
      <c r="I62" s="112">
        <v>4</v>
      </c>
      <c r="J62" s="111">
        <v>7</v>
      </c>
      <c r="K62" s="178">
        <v>5</v>
      </c>
      <c r="L62" s="95">
        <v>6</v>
      </c>
      <c r="M62" s="111">
        <v>2</v>
      </c>
      <c r="N62" s="178">
        <v>7</v>
      </c>
      <c r="O62" s="95"/>
      <c r="P62" s="174">
        <v>0</v>
      </c>
      <c r="Q62" s="128"/>
      <c r="R62" s="128"/>
      <c r="S62" s="128"/>
      <c r="T62" s="128"/>
      <c r="V62" s="107"/>
      <c r="W62" s="107"/>
      <c r="X62" s="107"/>
      <c r="Y62" s="107"/>
    </row>
    <row r="63" spans="1:25" ht="15.75">
      <c r="A63">
        <v>73</v>
      </c>
      <c r="B63">
        <v>73</v>
      </c>
      <c r="C63" s="157">
        <f t="shared" si="19"/>
        <v>0</v>
      </c>
      <c r="D63" s="157">
        <f t="shared" si="10"/>
        <v>9</v>
      </c>
      <c r="E63" s="129">
        <v>0</v>
      </c>
      <c r="F63" s="95">
        <v>2</v>
      </c>
      <c r="G63" s="111">
        <v>9</v>
      </c>
      <c r="H63" s="178">
        <v>3</v>
      </c>
      <c r="I63" s="112">
        <v>4</v>
      </c>
      <c r="J63" s="111">
        <v>7</v>
      </c>
      <c r="K63" s="178">
        <v>5</v>
      </c>
      <c r="L63" s="95">
        <v>6</v>
      </c>
      <c r="M63" s="111">
        <v>2</v>
      </c>
      <c r="N63" s="178">
        <v>7</v>
      </c>
      <c r="O63" s="95"/>
      <c r="P63" s="174">
        <v>0</v>
      </c>
      <c r="Q63" s="128"/>
      <c r="R63" s="128"/>
      <c r="S63" s="128"/>
      <c r="T63" s="128"/>
      <c r="V63" s="107"/>
      <c r="W63" s="107"/>
      <c r="X63" s="107"/>
      <c r="Y63" s="107"/>
    </row>
    <row r="64" spans="1:25" ht="15.75">
      <c r="A64">
        <v>70</v>
      </c>
      <c r="B64">
        <v>70</v>
      </c>
      <c r="C64" s="157">
        <f t="shared" si="19"/>
        <v>0</v>
      </c>
      <c r="D64" s="157">
        <f t="shared" si="10"/>
        <v>9</v>
      </c>
      <c r="E64" s="129">
        <v>0</v>
      </c>
      <c r="F64" s="95">
        <v>2</v>
      </c>
      <c r="G64" s="111">
        <v>9</v>
      </c>
      <c r="H64" s="178">
        <v>3</v>
      </c>
      <c r="I64" s="112">
        <v>4</v>
      </c>
      <c r="J64" s="111">
        <v>7</v>
      </c>
      <c r="K64" s="178">
        <v>5</v>
      </c>
      <c r="L64" s="95">
        <v>6</v>
      </c>
      <c r="M64" s="111">
        <v>2</v>
      </c>
      <c r="N64" s="178">
        <v>7</v>
      </c>
      <c r="O64" s="95"/>
      <c r="P64" s="174">
        <v>0</v>
      </c>
      <c r="Q64" s="128"/>
      <c r="R64" s="128"/>
      <c r="S64" s="128"/>
      <c r="T64" s="128"/>
      <c r="V64" s="107"/>
      <c r="W64" s="107"/>
      <c r="X64" s="107"/>
      <c r="Y64" s="107"/>
    </row>
    <row r="65" spans="1:25" ht="15.75">
      <c r="A65">
        <v>67</v>
      </c>
      <c r="B65">
        <v>67</v>
      </c>
      <c r="C65" s="157">
        <f t="shared" si="19"/>
        <v>0</v>
      </c>
      <c r="D65" s="157">
        <f t="shared" si="10"/>
        <v>9</v>
      </c>
      <c r="E65" s="129">
        <v>0</v>
      </c>
      <c r="F65" s="95">
        <v>2</v>
      </c>
      <c r="G65" s="111">
        <v>9</v>
      </c>
      <c r="H65" s="178">
        <v>3</v>
      </c>
      <c r="I65" s="112">
        <v>4</v>
      </c>
      <c r="J65" s="111">
        <v>7</v>
      </c>
      <c r="K65" s="178">
        <v>5</v>
      </c>
      <c r="L65" s="95">
        <v>6</v>
      </c>
      <c r="M65" s="111">
        <v>2</v>
      </c>
      <c r="N65" s="178">
        <v>7</v>
      </c>
      <c r="O65" s="95"/>
      <c r="P65" s="174">
        <v>0</v>
      </c>
      <c r="Q65" s="128"/>
      <c r="R65" s="128"/>
      <c r="S65" s="128"/>
      <c r="T65" s="128"/>
      <c r="V65" s="107"/>
      <c r="W65" s="107"/>
      <c r="X65" s="107"/>
      <c r="Y65" s="107"/>
    </row>
    <row r="66" spans="1:25" ht="16.5" thickBot="1">
      <c r="A66">
        <v>64</v>
      </c>
      <c r="B66">
        <v>64</v>
      </c>
      <c r="C66" s="157">
        <f t="shared" si="19"/>
        <v>0</v>
      </c>
      <c r="D66" s="157">
        <f t="shared" si="10"/>
        <v>9</v>
      </c>
      <c r="E66" s="129">
        <v>0</v>
      </c>
      <c r="F66" s="95">
        <v>2</v>
      </c>
      <c r="G66" s="111">
        <v>9</v>
      </c>
      <c r="H66" s="178">
        <v>3</v>
      </c>
      <c r="I66" s="112">
        <v>4</v>
      </c>
      <c r="J66" s="111">
        <v>7</v>
      </c>
      <c r="K66" s="178">
        <v>5</v>
      </c>
      <c r="L66" s="95">
        <v>6</v>
      </c>
      <c r="M66" s="111">
        <v>2</v>
      </c>
      <c r="N66" s="178">
        <v>7</v>
      </c>
      <c r="O66" s="95"/>
      <c r="P66" s="174">
        <v>0</v>
      </c>
      <c r="Q66" s="128"/>
      <c r="R66" s="128"/>
      <c r="S66" s="128"/>
      <c r="T66" s="128"/>
      <c r="V66" s="107"/>
      <c r="W66" s="107"/>
      <c r="X66" s="107"/>
      <c r="Y66" s="107"/>
    </row>
    <row r="67" spans="1:25" ht="16.5" thickBot="1">
      <c r="A67">
        <v>62</v>
      </c>
      <c r="B67">
        <v>62</v>
      </c>
      <c r="C67" s="157">
        <f t="shared" si="19"/>
        <v>0</v>
      </c>
      <c r="D67" s="157">
        <f t="shared" ref="D67:D97" si="20">IF(AND(C67&gt;=E67,C67&lt;=F67),G67,IF(AND(C67&gt;=H67,C67&lt;=I67),J67,IF(AND(C67&gt;=K67,C67&lt;=L67),M67,P67)))</f>
        <v>9</v>
      </c>
      <c r="E67" s="129">
        <v>0</v>
      </c>
      <c r="F67" s="95">
        <v>2</v>
      </c>
      <c r="G67" s="111">
        <v>9</v>
      </c>
      <c r="H67" s="178">
        <v>3</v>
      </c>
      <c r="I67" s="112">
        <v>4</v>
      </c>
      <c r="J67" s="111">
        <v>7</v>
      </c>
      <c r="K67" s="178">
        <v>5</v>
      </c>
      <c r="L67" s="95">
        <v>6</v>
      </c>
      <c r="M67" s="111">
        <v>2</v>
      </c>
      <c r="N67" s="178">
        <v>7</v>
      </c>
      <c r="O67" s="95"/>
      <c r="P67" s="174">
        <v>0</v>
      </c>
      <c r="Q67" s="150"/>
      <c r="R67" s="139" t="s">
        <v>254</v>
      </c>
      <c r="S67" s="139">
        <f>SUM(D54:D70)</f>
        <v>153</v>
      </c>
      <c r="T67" s="140"/>
      <c r="V67" s="107"/>
      <c r="W67" s="107"/>
      <c r="X67" s="107"/>
      <c r="Y67" s="107"/>
    </row>
    <row r="68" spans="1:25" ht="16.5" thickTop="1">
      <c r="A68">
        <v>59</v>
      </c>
      <c r="B68">
        <v>59</v>
      </c>
      <c r="C68" s="157">
        <f t="shared" si="19"/>
        <v>0</v>
      </c>
      <c r="D68" s="157">
        <f t="shared" si="20"/>
        <v>9</v>
      </c>
      <c r="E68" s="129">
        <v>0</v>
      </c>
      <c r="F68" s="95">
        <v>2</v>
      </c>
      <c r="G68" s="111">
        <v>9</v>
      </c>
      <c r="H68" s="178">
        <v>3</v>
      </c>
      <c r="I68" s="112">
        <v>4</v>
      </c>
      <c r="J68" s="111">
        <v>7</v>
      </c>
      <c r="K68" s="178">
        <v>5</v>
      </c>
      <c r="L68" s="95">
        <v>6</v>
      </c>
      <c r="M68" s="111">
        <v>2</v>
      </c>
      <c r="N68" s="178">
        <v>7</v>
      </c>
      <c r="O68" s="95"/>
      <c r="P68" s="174">
        <v>0</v>
      </c>
      <c r="Q68" s="114" t="s">
        <v>277</v>
      </c>
      <c r="R68" s="114" t="s">
        <v>255</v>
      </c>
      <c r="S68" s="114">
        <f>SUM(Q70:T70)</f>
        <v>9</v>
      </c>
      <c r="T68" s="138"/>
      <c r="V68" s="107"/>
      <c r="W68" s="107"/>
      <c r="X68" s="107"/>
      <c r="Y68" s="107"/>
    </row>
    <row r="69" spans="1:25" ht="15.75">
      <c r="A69">
        <v>57</v>
      </c>
      <c r="B69">
        <v>57</v>
      </c>
      <c r="C69" s="157">
        <f t="shared" si="19"/>
        <v>0</v>
      </c>
      <c r="D69" s="157">
        <f t="shared" si="20"/>
        <v>9</v>
      </c>
      <c r="E69" s="129">
        <v>0</v>
      </c>
      <c r="F69" s="95">
        <v>2</v>
      </c>
      <c r="G69" s="111">
        <v>9</v>
      </c>
      <c r="H69" s="178">
        <v>3</v>
      </c>
      <c r="I69" s="112">
        <v>4</v>
      </c>
      <c r="J69" s="111">
        <v>7</v>
      </c>
      <c r="K69" s="178">
        <v>5</v>
      </c>
      <c r="L69" s="95">
        <v>6</v>
      </c>
      <c r="M69" s="111">
        <v>2</v>
      </c>
      <c r="N69" s="178">
        <v>7</v>
      </c>
      <c r="O69" s="95"/>
      <c r="P69" s="174">
        <v>0</v>
      </c>
      <c r="Q69" s="134" t="s">
        <v>241</v>
      </c>
      <c r="R69" s="134" t="s">
        <v>242</v>
      </c>
      <c r="S69" s="134" t="s">
        <v>243</v>
      </c>
      <c r="T69" s="135" t="s">
        <v>244</v>
      </c>
      <c r="V69" s="107"/>
      <c r="W69" s="107"/>
      <c r="X69" s="107"/>
      <c r="Y69" s="107"/>
    </row>
    <row r="70" spans="1:25" ht="16.5" thickBot="1">
      <c r="A70">
        <v>54</v>
      </c>
      <c r="B70">
        <v>54</v>
      </c>
      <c r="C70" s="141">
        <f t="shared" si="19"/>
        <v>0</v>
      </c>
      <c r="D70" s="141">
        <f t="shared" si="20"/>
        <v>9</v>
      </c>
      <c r="E70" s="184">
        <v>0</v>
      </c>
      <c r="F70" s="143">
        <v>2</v>
      </c>
      <c r="G70" s="144">
        <v>9</v>
      </c>
      <c r="H70" s="142">
        <v>3</v>
      </c>
      <c r="I70" s="145">
        <v>4</v>
      </c>
      <c r="J70" s="144">
        <v>7</v>
      </c>
      <c r="K70" s="184">
        <v>5</v>
      </c>
      <c r="L70" s="185">
        <v>6</v>
      </c>
      <c r="M70" s="172">
        <v>2</v>
      </c>
      <c r="N70" s="184">
        <v>7</v>
      </c>
      <c r="O70" s="185"/>
      <c r="P70" s="175">
        <v>0</v>
      </c>
      <c r="Q70" s="115">
        <f>IF(AND(S67&lt;=153,S67&gt;=125),9,0)</f>
        <v>9</v>
      </c>
      <c r="R70" s="115">
        <f>IF(AND(S67&lt;=124,S67&gt;=119),8,0)</f>
        <v>0</v>
      </c>
      <c r="S70" s="115">
        <f>IF(AND(S67&lt;=118,S67&gt;=110),7,0)</f>
        <v>0</v>
      </c>
      <c r="T70" s="146">
        <f>IF(AND(S67&lt;=109,S67&gt;=39),2,0)</f>
        <v>0</v>
      </c>
      <c r="V70" s="107"/>
      <c r="W70" s="107"/>
      <c r="X70" s="107"/>
      <c r="Y70" s="107"/>
    </row>
    <row r="71" spans="1:25" ht="17.25" thickTop="1" thickBot="1">
      <c r="A71">
        <v>81</v>
      </c>
      <c r="B71">
        <v>81</v>
      </c>
      <c r="C71" s="157">
        <f t="shared" ref="C71" si="21">ABS(A71-B71)</f>
        <v>0</v>
      </c>
      <c r="D71" s="157">
        <f t="shared" si="20"/>
        <v>9</v>
      </c>
      <c r="E71" s="129">
        <v>0</v>
      </c>
      <c r="F71" s="95">
        <v>2</v>
      </c>
      <c r="G71" s="111">
        <v>9</v>
      </c>
      <c r="H71" s="178">
        <v>3</v>
      </c>
      <c r="I71" s="112">
        <v>4</v>
      </c>
      <c r="J71" s="111">
        <v>7</v>
      </c>
      <c r="K71" s="178">
        <v>5</v>
      </c>
      <c r="L71" s="95">
        <v>6</v>
      </c>
      <c r="M71" s="111">
        <v>2</v>
      </c>
      <c r="N71" s="178">
        <v>7</v>
      </c>
      <c r="O71" s="95"/>
      <c r="P71" s="174">
        <v>0</v>
      </c>
      <c r="Q71" s="151"/>
      <c r="R71" s="147" t="s">
        <v>254</v>
      </c>
      <c r="S71" s="147">
        <f>SUM(D71:D74)</f>
        <v>36</v>
      </c>
      <c r="T71" s="148"/>
    </row>
    <row r="72" spans="1:25" ht="16.5" thickTop="1">
      <c r="A72">
        <v>82</v>
      </c>
      <c r="B72">
        <v>82</v>
      </c>
      <c r="C72" s="157">
        <f t="shared" ref="C72" si="22">ABS(A72-B72)</f>
        <v>0</v>
      </c>
      <c r="D72" s="157">
        <f t="shared" si="20"/>
        <v>9</v>
      </c>
      <c r="E72" s="129">
        <v>0</v>
      </c>
      <c r="F72" s="95">
        <v>2</v>
      </c>
      <c r="G72" s="111">
        <v>9</v>
      </c>
      <c r="H72" s="178">
        <v>3</v>
      </c>
      <c r="I72" s="112">
        <v>4</v>
      </c>
      <c r="J72" s="111">
        <v>7</v>
      </c>
      <c r="K72" s="178">
        <v>5</v>
      </c>
      <c r="L72" s="95">
        <v>6</v>
      </c>
      <c r="M72" s="111">
        <v>2</v>
      </c>
      <c r="N72" s="178">
        <v>7</v>
      </c>
      <c r="O72" s="95"/>
      <c r="P72" s="174">
        <v>0</v>
      </c>
      <c r="Q72" s="114" t="s">
        <v>278</v>
      </c>
      <c r="R72" s="114" t="s">
        <v>255</v>
      </c>
      <c r="S72" s="114">
        <f>SUM(Q74:T74)</f>
        <v>9</v>
      </c>
      <c r="T72" s="138"/>
    </row>
    <row r="73" spans="1:25" ht="15.75">
      <c r="A73">
        <v>57</v>
      </c>
      <c r="B73">
        <v>57</v>
      </c>
      <c r="C73" s="157">
        <f t="shared" ref="C73:C74" si="23">ABS(A73-B73)</f>
        <v>0</v>
      </c>
      <c r="D73" s="157">
        <f t="shared" si="20"/>
        <v>9</v>
      </c>
      <c r="E73" s="129">
        <v>0</v>
      </c>
      <c r="F73" s="95">
        <v>2</v>
      </c>
      <c r="G73" s="111">
        <v>9</v>
      </c>
      <c r="H73" s="178">
        <v>3</v>
      </c>
      <c r="I73" s="112">
        <v>4</v>
      </c>
      <c r="J73" s="111">
        <v>7</v>
      </c>
      <c r="K73" s="178">
        <v>5</v>
      </c>
      <c r="L73" s="95">
        <v>6</v>
      </c>
      <c r="M73" s="111">
        <v>2</v>
      </c>
      <c r="N73" s="178">
        <v>7</v>
      </c>
      <c r="O73" s="95"/>
      <c r="P73" s="174">
        <v>0</v>
      </c>
      <c r="Q73" s="134" t="s">
        <v>261</v>
      </c>
      <c r="R73" s="134" t="s">
        <v>262</v>
      </c>
      <c r="S73" s="134" t="s">
        <v>263</v>
      </c>
      <c r="T73" s="135" t="s">
        <v>264</v>
      </c>
    </row>
    <row r="74" spans="1:25" ht="16.5" thickBot="1">
      <c r="A74">
        <v>54</v>
      </c>
      <c r="B74">
        <v>54</v>
      </c>
      <c r="C74" s="141">
        <f t="shared" si="23"/>
        <v>0</v>
      </c>
      <c r="D74" s="141">
        <f t="shared" si="20"/>
        <v>9</v>
      </c>
      <c r="E74" s="184">
        <v>0</v>
      </c>
      <c r="F74" s="143">
        <v>2</v>
      </c>
      <c r="G74" s="144">
        <v>9</v>
      </c>
      <c r="H74" s="142">
        <v>3</v>
      </c>
      <c r="I74" s="145">
        <v>4</v>
      </c>
      <c r="J74" s="144">
        <v>7</v>
      </c>
      <c r="K74" s="184">
        <v>5</v>
      </c>
      <c r="L74" s="185">
        <v>6</v>
      </c>
      <c r="M74" s="172">
        <v>2</v>
      </c>
      <c r="N74" s="184">
        <v>7</v>
      </c>
      <c r="O74" s="185"/>
      <c r="P74" s="175">
        <v>0</v>
      </c>
      <c r="Q74" s="136">
        <f>IF(AND(S71&lt;=36,S71&gt;=29),9,0)</f>
        <v>9</v>
      </c>
      <c r="R74" s="136">
        <f>IF(AND(S71&lt;=28,D104&gt;=21),7,0)</f>
        <v>0</v>
      </c>
      <c r="S74" s="136">
        <f>IF(AND(S71&lt;=20,S71&gt;=16),2,0)</f>
        <v>0</v>
      </c>
      <c r="T74" s="137">
        <f>IF(AND(S71&lt;=15,S71&gt;=0),0,0)</f>
        <v>0</v>
      </c>
    </row>
    <row r="75" spans="1:25" ht="16.5" thickTop="1">
      <c r="A75">
        <v>78</v>
      </c>
      <c r="B75">
        <v>78</v>
      </c>
      <c r="C75" s="157">
        <f t="shared" ref="C75" si="24">ABS(A75-B75)</f>
        <v>0</v>
      </c>
      <c r="D75" s="157">
        <f t="shared" si="20"/>
        <v>9</v>
      </c>
      <c r="E75" s="129">
        <v>0</v>
      </c>
      <c r="F75" s="95">
        <v>3</v>
      </c>
      <c r="G75" s="111">
        <v>9</v>
      </c>
      <c r="H75" s="178">
        <v>4</v>
      </c>
      <c r="I75" s="112">
        <v>5</v>
      </c>
      <c r="J75" s="111">
        <v>7</v>
      </c>
      <c r="K75" s="178">
        <v>6</v>
      </c>
      <c r="L75" s="95">
        <v>7</v>
      </c>
      <c r="M75" s="111">
        <v>2</v>
      </c>
      <c r="N75" s="178">
        <v>7</v>
      </c>
      <c r="O75" s="95"/>
      <c r="P75" s="174">
        <v>0</v>
      </c>
      <c r="Q75" s="128"/>
      <c r="R75" s="128"/>
      <c r="S75" s="128"/>
      <c r="T75" s="128"/>
    </row>
    <row r="76" spans="1:25" ht="15.75">
      <c r="A76">
        <v>83</v>
      </c>
      <c r="B76">
        <v>83</v>
      </c>
      <c r="C76" s="157">
        <f t="shared" ref="C76" si="25">ABS(A76-B76)</f>
        <v>0</v>
      </c>
      <c r="D76" s="157">
        <f t="shared" si="20"/>
        <v>9</v>
      </c>
      <c r="E76" s="129">
        <v>0</v>
      </c>
      <c r="F76" s="95">
        <v>2</v>
      </c>
      <c r="G76" s="111">
        <v>9</v>
      </c>
      <c r="H76" s="178">
        <v>3</v>
      </c>
      <c r="I76" s="112">
        <v>4</v>
      </c>
      <c r="J76" s="111">
        <v>7</v>
      </c>
      <c r="K76" s="178">
        <v>5</v>
      </c>
      <c r="L76" s="95">
        <v>6</v>
      </c>
      <c r="M76" s="111">
        <v>2</v>
      </c>
      <c r="N76" s="178">
        <v>7</v>
      </c>
      <c r="O76" s="95"/>
      <c r="P76" s="174">
        <v>0</v>
      </c>
      <c r="Q76" s="128"/>
      <c r="R76" s="128"/>
      <c r="S76" s="128"/>
      <c r="T76" s="128"/>
    </row>
    <row r="77" spans="1:25" ht="15.75">
      <c r="A77">
        <v>83</v>
      </c>
      <c r="B77">
        <v>83</v>
      </c>
      <c r="C77" s="157">
        <f t="shared" ref="C77:C81" si="26">ABS(A77-B77)</f>
        <v>0</v>
      </c>
      <c r="D77" s="157">
        <f t="shared" si="20"/>
        <v>9</v>
      </c>
      <c r="E77" s="129">
        <v>0</v>
      </c>
      <c r="F77" s="95">
        <v>2</v>
      </c>
      <c r="G77" s="111">
        <v>9</v>
      </c>
      <c r="H77" s="178">
        <v>3</v>
      </c>
      <c r="I77" s="112">
        <v>4</v>
      </c>
      <c r="J77" s="111">
        <v>7</v>
      </c>
      <c r="K77" s="178">
        <v>5</v>
      </c>
      <c r="L77" s="95">
        <v>6</v>
      </c>
      <c r="M77" s="111">
        <v>2</v>
      </c>
      <c r="N77" s="178">
        <v>7</v>
      </c>
      <c r="O77" s="95"/>
      <c r="P77" s="174">
        <v>0</v>
      </c>
      <c r="Q77" s="128"/>
      <c r="R77" s="128"/>
      <c r="S77" s="128"/>
      <c r="T77" s="128"/>
    </row>
    <row r="78" spans="1:25" ht="16.5" thickBot="1">
      <c r="A78">
        <v>82</v>
      </c>
      <c r="B78">
        <v>82</v>
      </c>
      <c r="C78" s="157">
        <f t="shared" si="26"/>
        <v>0</v>
      </c>
      <c r="D78" s="157">
        <f t="shared" si="20"/>
        <v>9</v>
      </c>
      <c r="E78" s="129">
        <v>0</v>
      </c>
      <c r="F78" s="95">
        <v>2</v>
      </c>
      <c r="G78" s="111">
        <v>9</v>
      </c>
      <c r="H78" s="178">
        <v>3</v>
      </c>
      <c r="I78" s="112">
        <v>4</v>
      </c>
      <c r="J78" s="111">
        <v>7</v>
      </c>
      <c r="K78" s="178">
        <v>5</v>
      </c>
      <c r="L78" s="95">
        <v>6</v>
      </c>
      <c r="M78" s="111">
        <v>2</v>
      </c>
      <c r="N78" s="178">
        <v>7</v>
      </c>
      <c r="O78" s="95"/>
      <c r="P78" s="174">
        <v>0</v>
      </c>
      <c r="Q78" s="128"/>
      <c r="R78" s="128"/>
      <c r="S78" s="128"/>
      <c r="T78" s="128"/>
    </row>
    <row r="79" spans="1:25" ht="16.5" thickBot="1">
      <c r="A79">
        <v>66</v>
      </c>
      <c r="B79">
        <v>66</v>
      </c>
      <c r="C79" s="157">
        <f t="shared" si="26"/>
        <v>0</v>
      </c>
      <c r="D79" s="157">
        <f t="shared" si="20"/>
        <v>9</v>
      </c>
      <c r="E79" s="129">
        <v>0</v>
      </c>
      <c r="F79" s="95">
        <v>3</v>
      </c>
      <c r="G79" s="111">
        <v>9</v>
      </c>
      <c r="H79" s="178">
        <v>4</v>
      </c>
      <c r="I79" s="112">
        <v>5</v>
      </c>
      <c r="J79" s="111">
        <v>7</v>
      </c>
      <c r="K79" s="178">
        <v>6</v>
      </c>
      <c r="L79" s="95">
        <v>7</v>
      </c>
      <c r="M79" s="111">
        <v>2</v>
      </c>
      <c r="N79" s="178">
        <v>7</v>
      </c>
      <c r="O79" s="95"/>
      <c r="P79" s="174">
        <v>0</v>
      </c>
      <c r="Q79" s="150"/>
      <c r="R79" s="139" t="s">
        <v>254</v>
      </c>
      <c r="S79" s="139">
        <f>SUM(D75:D82)</f>
        <v>72</v>
      </c>
      <c r="T79" s="140"/>
    </row>
    <row r="80" spans="1:25" ht="16.5" thickTop="1">
      <c r="A80">
        <v>64</v>
      </c>
      <c r="B80">
        <v>64</v>
      </c>
      <c r="C80" s="157">
        <f t="shared" si="26"/>
        <v>0</v>
      </c>
      <c r="D80" s="157">
        <f t="shared" si="20"/>
        <v>9</v>
      </c>
      <c r="E80" s="129">
        <v>0</v>
      </c>
      <c r="F80" s="95">
        <v>2</v>
      </c>
      <c r="G80" s="111">
        <v>9</v>
      </c>
      <c r="H80" s="178">
        <v>3</v>
      </c>
      <c r="I80" s="112">
        <v>4</v>
      </c>
      <c r="J80" s="111">
        <v>7</v>
      </c>
      <c r="K80" s="178">
        <v>5</v>
      </c>
      <c r="L80" s="95">
        <v>6</v>
      </c>
      <c r="M80" s="111">
        <v>2</v>
      </c>
      <c r="N80" s="178">
        <v>7</v>
      </c>
      <c r="O80" s="95"/>
      <c r="P80" s="174">
        <v>0</v>
      </c>
      <c r="Q80" s="114" t="s">
        <v>265</v>
      </c>
      <c r="R80" s="114" t="s">
        <v>255</v>
      </c>
      <c r="S80" s="114">
        <f>SUM(Q82:T82)</f>
        <v>9</v>
      </c>
      <c r="T80" s="138"/>
    </row>
    <row r="81" spans="1:20" ht="15.75">
      <c r="A81">
        <v>62</v>
      </c>
      <c r="B81">
        <v>62</v>
      </c>
      <c r="C81" s="157">
        <f t="shared" si="26"/>
        <v>0</v>
      </c>
      <c r="D81" s="157">
        <f t="shared" si="20"/>
        <v>9</v>
      </c>
      <c r="E81" s="129">
        <v>0</v>
      </c>
      <c r="F81" s="95">
        <v>2</v>
      </c>
      <c r="G81" s="111">
        <v>9</v>
      </c>
      <c r="H81" s="178">
        <v>3</v>
      </c>
      <c r="I81" s="112">
        <v>4</v>
      </c>
      <c r="J81" s="111">
        <v>7</v>
      </c>
      <c r="K81" s="178">
        <v>5</v>
      </c>
      <c r="L81" s="95">
        <v>6</v>
      </c>
      <c r="M81" s="111">
        <v>2</v>
      </c>
      <c r="N81" s="178">
        <v>7</v>
      </c>
      <c r="O81" s="95"/>
      <c r="P81" s="174">
        <v>0</v>
      </c>
      <c r="Q81" s="134" t="s">
        <v>266</v>
      </c>
      <c r="R81" s="134" t="s">
        <v>267</v>
      </c>
      <c r="S81" s="134" t="s">
        <v>268</v>
      </c>
      <c r="T81" s="135" t="s">
        <v>269</v>
      </c>
    </row>
    <row r="82" spans="1:20" ht="16.5" thickBot="1">
      <c r="A82">
        <v>59</v>
      </c>
      <c r="B82">
        <v>59</v>
      </c>
      <c r="C82" s="141">
        <f t="shared" ref="C82" si="27">ABS(A82-B82)</f>
        <v>0</v>
      </c>
      <c r="D82" s="141">
        <f t="shared" si="20"/>
        <v>9</v>
      </c>
      <c r="E82" s="184">
        <v>0</v>
      </c>
      <c r="F82" s="143">
        <v>2</v>
      </c>
      <c r="G82" s="144">
        <v>9</v>
      </c>
      <c r="H82" s="142">
        <v>3</v>
      </c>
      <c r="I82" s="145">
        <v>4</v>
      </c>
      <c r="J82" s="144">
        <v>7</v>
      </c>
      <c r="K82" s="184">
        <v>5</v>
      </c>
      <c r="L82" s="185">
        <v>6</v>
      </c>
      <c r="M82" s="172">
        <v>2</v>
      </c>
      <c r="N82" s="184">
        <v>7</v>
      </c>
      <c r="O82" s="185"/>
      <c r="P82" s="175">
        <v>0</v>
      </c>
      <c r="Q82" s="136">
        <f>IF(AND(S79&lt;=72,S79&gt;=60),9,0)</f>
        <v>9</v>
      </c>
      <c r="R82" s="136">
        <f>IF(AND(S79&lt;=59,S79&gt;=40),7,0)</f>
        <v>0</v>
      </c>
      <c r="S82" s="136">
        <f>IF(AND(S79&lt;=39,S79&gt;=17),2,0)</f>
        <v>0</v>
      </c>
      <c r="T82" s="137">
        <f>IF(AND(S79&lt;=16,S79&gt;=0),0,0)</f>
        <v>0</v>
      </c>
    </row>
    <row r="83" spans="1:20" ht="16.5" thickTop="1">
      <c r="A83">
        <v>83</v>
      </c>
      <c r="B83">
        <v>83</v>
      </c>
      <c r="C83" s="157">
        <f t="shared" ref="C83:C88" si="28">ABS(A83-B83)</f>
        <v>0</v>
      </c>
      <c r="D83" s="157">
        <f t="shared" si="20"/>
        <v>9</v>
      </c>
      <c r="E83" s="129">
        <v>0</v>
      </c>
      <c r="F83" s="95">
        <v>2</v>
      </c>
      <c r="G83" s="111">
        <v>9</v>
      </c>
      <c r="H83" s="178">
        <v>3</v>
      </c>
      <c r="I83" s="112">
        <v>4</v>
      </c>
      <c r="J83" s="111">
        <v>7</v>
      </c>
      <c r="K83" s="178">
        <v>5</v>
      </c>
      <c r="L83" s="95">
        <v>6</v>
      </c>
      <c r="M83" s="111">
        <v>2</v>
      </c>
      <c r="N83" s="178">
        <v>7</v>
      </c>
      <c r="O83" s="95"/>
      <c r="P83" s="174">
        <v>0</v>
      </c>
      <c r="Q83" s="128"/>
      <c r="R83" s="128"/>
      <c r="S83" s="128"/>
      <c r="T83" s="128"/>
    </row>
    <row r="84" spans="1:20" ht="16.5" thickBot="1">
      <c r="A84">
        <v>83</v>
      </c>
      <c r="B84">
        <v>83</v>
      </c>
      <c r="C84" s="157">
        <f t="shared" si="28"/>
        <v>0</v>
      </c>
      <c r="D84" s="157">
        <f t="shared" si="20"/>
        <v>9</v>
      </c>
      <c r="E84" s="129">
        <v>0</v>
      </c>
      <c r="F84" s="95">
        <v>2</v>
      </c>
      <c r="G84" s="111">
        <v>9</v>
      </c>
      <c r="H84" s="178">
        <v>3</v>
      </c>
      <c r="I84" s="112">
        <v>4</v>
      </c>
      <c r="J84" s="111">
        <v>7</v>
      </c>
      <c r="K84" s="178">
        <v>5</v>
      </c>
      <c r="L84" s="95">
        <v>6</v>
      </c>
      <c r="M84" s="111">
        <v>2</v>
      </c>
      <c r="N84" s="178">
        <v>7</v>
      </c>
      <c r="O84" s="95"/>
      <c r="P84" s="174">
        <v>0</v>
      </c>
      <c r="Q84" s="128"/>
      <c r="R84" s="128"/>
      <c r="S84" s="128"/>
      <c r="T84" s="128"/>
    </row>
    <row r="85" spans="1:20" ht="16.5" thickBot="1">
      <c r="A85">
        <v>82</v>
      </c>
      <c r="B85">
        <v>82</v>
      </c>
      <c r="C85" s="157">
        <f t="shared" si="28"/>
        <v>0</v>
      </c>
      <c r="D85" s="157">
        <f t="shared" si="20"/>
        <v>9</v>
      </c>
      <c r="E85" s="129">
        <v>0</v>
      </c>
      <c r="F85" s="95">
        <v>2</v>
      </c>
      <c r="G85" s="111">
        <v>9</v>
      </c>
      <c r="H85" s="178">
        <v>3</v>
      </c>
      <c r="I85" s="112">
        <v>4</v>
      </c>
      <c r="J85" s="111">
        <v>7</v>
      </c>
      <c r="K85" s="178">
        <v>5</v>
      </c>
      <c r="L85" s="95">
        <v>6</v>
      </c>
      <c r="M85" s="111">
        <v>2</v>
      </c>
      <c r="N85" s="178">
        <v>7</v>
      </c>
      <c r="O85" s="95"/>
      <c r="P85" s="174">
        <v>0</v>
      </c>
      <c r="Q85" s="150"/>
      <c r="R85" s="139" t="s">
        <v>254</v>
      </c>
      <c r="S85" s="139">
        <f>SUM(D83:D88)</f>
        <v>54</v>
      </c>
      <c r="T85" s="140"/>
    </row>
    <row r="86" spans="1:20" ht="16.5" thickTop="1">
      <c r="A86">
        <v>67</v>
      </c>
      <c r="B86">
        <v>67</v>
      </c>
      <c r="C86" s="157">
        <f t="shared" si="28"/>
        <v>0</v>
      </c>
      <c r="D86" s="157">
        <f t="shared" si="20"/>
        <v>9</v>
      </c>
      <c r="E86" s="129">
        <v>0</v>
      </c>
      <c r="F86" s="95">
        <v>2</v>
      </c>
      <c r="G86" s="111">
        <v>9</v>
      </c>
      <c r="H86" s="178">
        <v>3</v>
      </c>
      <c r="I86" s="112">
        <v>4</v>
      </c>
      <c r="J86" s="111">
        <v>7</v>
      </c>
      <c r="K86" s="178">
        <v>5</v>
      </c>
      <c r="L86" s="95">
        <v>6</v>
      </c>
      <c r="M86" s="111">
        <v>2</v>
      </c>
      <c r="N86" s="178">
        <v>7</v>
      </c>
      <c r="O86" s="95"/>
      <c r="P86" s="174">
        <v>0</v>
      </c>
      <c r="Q86" s="114" t="s">
        <v>279</v>
      </c>
      <c r="R86" s="114" t="s">
        <v>255</v>
      </c>
      <c r="S86" s="114">
        <f>SUM(Q88:T88)</f>
        <v>9</v>
      </c>
      <c r="T86" s="138"/>
    </row>
    <row r="87" spans="1:20" ht="15.75">
      <c r="A87">
        <v>64</v>
      </c>
      <c r="B87">
        <v>64</v>
      </c>
      <c r="C87" s="157">
        <f t="shared" si="28"/>
        <v>0</v>
      </c>
      <c r="D87" s="157">
        <f t="shared" si="20"/>
        <v>9</v>
      </c>
      <c r="E87" s="129">
        <v>0</v>
      </c>
      <c r="F87" s="95">
        <v>2</v>
      </c>
      <c r="G87" s="111">
        <v>9</v>
      </c>
      <c r="H87" s="178">
        <v>3</v>
      </c>
      <c r="I87" s="112">
        <v>4</v>
      </c>
      <c r="J87" s="111">
        <v>7</v>
      </c>
      <c r="K87" s="178">
        <v>5</v>
      </c>
      <c r="L87" s="95">
        <v>6</v>
      </c>
      <c r="M87" s="111">
        <v>2</v>
      </c>
      <c r="N87" s="178">
        <v>7</v>
      </c>
      <c r="O87" s="95"/>
      <c r="P87" s="174">
        <v>0</v>
      </c>
      <c r="Q87" s="134" t="s">
        <v>270</v>
      </c>
      <c r="R87" s="134" t="s">
        <v>271</v>
      </c>
      <c r="S87" s="134" t="s">
        <v>272</v>
      </c>
      <c r="T87" s="135" t="s">
        <v>157</v>
      </c>
    </row>
    <row r="88" spans="1:20" ht="16.5" thickBot="1">
      <c r="A88">
        <v>62</v>
      </c>
      <c r="B88">
        <v>62</v>
      </c>
      <c r="C88" s="141">
        <f t="shared" si="28"/>
        <v>0</v>
      </c>
      <c r="D88" s="141">
        <f t="shared" si="20"/>
        <v>9</v>
      </c>
      <c r="E88" s="184">
        <v>0</v>
      </c>
      <c r="F88" s="143">
        <v>2</v>
      </c>
      <c r="G88" s="144">
        <v>9</v>
      </c>
      <c r="H88" s="142">
        <v>3</v>
      </c>
      <c r="I88" s="145">
        <v>4</v>
      </c>
      <c r="J88" s="144">
        <v>7</v>
      </c>
      <c r="K88" s="184">
        <v>5</v>
      </c>
      <c r="L88" s="185">
        <v>6</v>
      </c>
      <c r="M88" s="172">
        <v>2</v>
      </c>
      <c r="N88" s="184">
        <v>7</v>
      </c>
      <c r="O88" s="185"/>
      <c r="P88" s="175">
        <v>0</v>
      </c>
      <c r="Q88" s="115">
        <f>IF(AND(S85&lt;=54,S85&gt;=45),9,0)</f>
        <v>9</v>
      </c>
      <c r="R88" s="115">
        <f>IF(AND(S85&lt;=44,S85&gt;=29),7,0)</f>
        <v>0</v>
      </c>
      <c r="S88" s="115">
        <f>IF(AND(S85&lt;=28,S85&gt;=12),2,0)</f>
        <v>0</v>
      </c>
      <c r="T88" s="146">
        <f>IF(AND(S85&lt;=11,S85&gt;=0),0,0)</f>
        <v>0</v>
      </c>
    </row>
    <row r="89" spans="1:20" ht="17.25" thickTop="1" thickBot="1">
      <c r="A89">
        <v>81</v>
      </c>
      <c r="B89">
        <v>81</v>
      </c>
      <c r="C89" s="157">
        <f t="shared" ref="C89:C91" si="29">ABS(A89-B89)</f>
        <v>0</v>
      </c>
      <c r="D89" s="157">
        <f t="shared" si="20"/>
        <v>9</v>
      </c>
      <c r="E89" s="129">
        <v>0</v>
      </c>
      <c r="F89" s="95">
        <v>2</v>
      </c>
      <c r="G89" s="111">
        <v>9</v>
      </c>
      <c r="H89" s="178">
        <v>3</v>
      </c>
      <c r="I89" s="112">
        <v>4</v>
      </c>
      <c r="J89" s="111">
        <v>7</v>
      </c>
      <c r="K89" s="178">
        <v>5</v>
      </c>
      <c r="L89" s="95">
        <v>6</v>
      </c>
      <c r="M89" s="111">
        <v>2</v>
      </c>
      <c r="N89" s="178">
        <v>7</v>
      </c>
      <c r="O89" s="95"/>
      <c r="P89" s="174">
        <v>0</v>
      </c>
      <c r="Q89" s="151"/>
      <c r="R89" s="147" t="s">
        <v>254</v>
      </c>
      <c r="S89" s="147">
        <f>SUM(D89:D92)</f>
        <v>36</v>
      </c>
      <c r="T89" s="148"/>
    </row>
    <row r="90" spans="1:20" ht="16.5" thickTop="1">
      <c r="A90">
        <v>82</v>
      </c>
      <c r="B90">
        <v>82</v>
      </c>
      <c r="C90" s="157">
        <f t="shared" si="29"/>
        <v>0</v>
      </c>
      <c r="D90" s="157">
        <f t="shared" si="20"/>
        <v>9</v>
      </c>
      <c r="E90" s="129">
        <v>0</v>
      </c>
      <c r="F90" s="95">
        <v>2</v>
      </c>
      <c r="G90" s="111">
        <v>9</v>
      </c>
      <c r="H90" s="178">
        <v>3</v>
      </c>
      <c r="I90" s="112">
        <v>4</v>
      </c>
      <c r="J90" s="111">
        <v>7</v>
      </c>
      <c r="K90" s="178">
        <v>5</v>
      </c>
      <c r="L90" s="95">
        <v>6</v>
      </c>
      <c r="M90" s="111">
        <v>2</v>
      </c>
      <c r="N90" s="178">
        <v>7</v>
      </c>
      <c r="O90" s="95"/>
      <c r="P90" s="174">
        <v>0</v>
      </c>
      <c r="Q90" s="114" t="s">
        <v>280</v>
      </c>
      <c r="R90" s="114" t="s">
        <v>255</v>
      </c>
      <c r="S90" s="114">
        <f>SUM(Q92:T92)</f>
        <v>9</v>
      </c>
      <c r="T90" s="138"/>
    </row>
    <row r="91" spans="1:20" ht="15.75">
      <c r="A91">
        <v>57</v>
      </c>
      <c r="B91">
        <v>57</v>
      </c>
      <c r="C91" s="157">
        <f t="shared" si="29"/>
        <v>0</v>
      </c>
      <c r="D91" s="157">
        <f t="shared" si="20"/>
        <v>9</v>
      </c>
      <c r="E91" s="129">
        <v>0</v>
      </c>
      <c r="F91" s="95">
        <v>2</v>
      </c>
      <c r="G91" s="111">
        <v>9</v>
      </c>
      <c r="H91" s="178">
        <v>3</v>
      </c>
      <c r="I91" s="112">
        <v>4</v>
      </c>
      <c r="J91" s="111">
        <v>7</v>
      </c>
      <c r="K91" s="178">
        <v>5</v>
      </c>
      <c r="L91" s="95">
        <v>6</v>
      </c>
      <c r="M91" s="111">
        <v>2</v>
      </c>
      <c r="N91" s="178">
        <v>7</v>
      </c>
      <c r="O91" s="95"/>
      <c r="P91" s="174">
        <v>0</v>
      </c>
      <c r="Q91" s="134" t="s">
        <v>273</v>
      </c>
      <c r="R91" s="134" t="s">
        <v>274</v>
      </c>
      <c r="S91" s="134" t="s">
        <v>275</v>
      </c>
      <c r="T91" s="135" t="s">
        <v>130</v>
      </c>
    </row>
    <row r="92" spans="1:20" ht="16.5" thickBot="1">
      <c r="A92">
        <v>54</v>
      </c>
      <c r="B92">
        <v>54</v>
      </c>
      <c r="C92" s="141">
        <f t="shared" ref="C92" si="30">ABS(A92-B92)</f>
        <v>0</v>
      </c>
      <c r="D92" s="141">
        <f t="shared" si="20"/>
        <v>9</v>
      </c>
      <c r="E92" s="184">
        <v>0</v>
      </c>
      <c r="F92" s="143">
        <v>2</v>
      </c>
      <c r="G92" s="144">
        <v>9</v>
      </c>
      <c r="H92" s="142">
        <v>3</v>
      </c>
      <c r="I92" s="145">
        <v>4</v>
      </c>
      <c r="J92" s="144">
        <v>7</v>
      </c>
      <c r="K92" s="184">
        <v>5</v>
      </c>
      <c r="L92" s="185">
        <v>6</v>
      </c>
      <c r="M92" s="172">
        <v>2</v>
      </c>
      <c r="N92" s="184">
        <v>7</v>
      </c>
      <c r="O92" s="185"/>
      <c r="P92" s="175">
        <v>0</v>
      </c>
      <c r="Q92" s="136">
        <f>IF(AND(S89&lt;=36,S89&gt;=30),9,0)</f>
        <v>9</v>
      </c>
      <c r="R92" s="136">
        <f>IF(AND(S89&lt;=29,S89&gt;=22),7,0)</f>
        <v>0</v>
      </c>
      <c r="S92" s="136">
        <f>IF(AND(S89&lt;=28,S89&gt;=12),2,0)</f>
        <v>0</v>
      </c>
      <c r="T92" s="137">
        <f>IF(AND(S89&lt;=11,S89&gt;=0),0,0)</f>
        <v>0</v>
      </c>
    </row>
    <row r="93" spans="1:20" ht="17.25" thickTop="1" thickBot="1">
      <c r="A93">
        <v>79</v>
      </c>
      <c r="B93">
        <v>79</v>
      </c>
      <c r="C93" s="157">
        <f t="shared" ref="C93:C96" si="31">ABS(A93-B93)</f>
        <v>0</v>
      </c>
      <c r="D93" s="157">
        <f t="shared" si="20"/>
        <v>9</v>
      </c>
      <c r="E93" s="129">
        <v>0</v>
      </c>
      <c r="F93" s="95">
        <v>3</v>
      </c>
      <c r="G93" s="111">
        <v>9</v>
      </c>
      <c r="H93" s="178">
        <v>4</v>
      </c>
      <c r="I93" s="112">
        <v>4</v>
      </c>
      <c r="J93" s="111">
        <v>7</v>
      </c>
      <c r="K93" s="178">
        <v>5</v>
      </c>
      <c r="L93" s="95">
        <v>5</v>
      </c>
      <c r="M93" s="111">
        <v>2</v>
      </c>
      <c r="N93" s="178">
        <v>6</v>
      </c>
      <c r="O93" s="95"/>
      <c r="P93" s="174">
        <v>0</v>
      </c>
      <c r="Q93" s="128"/>
      <c r="R93" s="128"/>
      <c r="S93" s="128"/>
      <c r="T93" s="128"/>
    </row>
    <row r="94" spans="1:20" ht="16.5" thickBot="1">
      <c r="A94">
        <v>78</v>
      </c>
      <c r="B94">
        <v>78</v>
      </c>
      <c r="C94" s="157">
        <f t="shared" si="31"/>
        <v>0</v>
      </c>
      <c r="D94" s="157">
        <f t="shared" si="20"/>
        <v>9</v>
      </c>
      <c r="E94" s="129">
        <v>0</v>
      </c>
      <c r="F94" s="95">
        <v>3</v>
      </c>
      <c r="G94" s="111">
        <v>9</v>
      </c>
      <c r="H94" s="178">
        <v>4</v>
      </c>
      <c r="I94" s="112">
        <v>4</v>
      </c>
      <c r="J94" s="111">
        <v>7</v>
      </c>
      <c r="K94" s="178">
        <v>5</v>
      </c>
      <c r="L94" s="95">
        <v>5</v>
      </c>
      <c r="M94" s="111">
        <v>2</v>
      </c>
      <c r="N94" s="178">
        <v>6</v>
      </c>
      <c r="O94" s="95"/>
      <c r="P94" s="174">
        <v>0</v>
      </c>
      <c r="Q94" s="150"/>
      <c r="R94" s="139" t="s">
        <v>254</v>
      </c>
      <c r="S94" s="139">
        <f>SUM(D93:D96)</f>
        <v>36</v>
      </c>
      <c r="T94" s="140"/>
    </row>
    <row r="95" spans="1:20" ht="16.5" thickTop="1">
      <c r="A95">
        <v>75</v>
      </c>
      <c r="B95">
        <v>75</v>
      </c>
      <c r="C95" s="157">
        <f t="shared" si="31"/>
        <v>0</v>
      </c>
      <c r="D95" s="157">
        <f t="shared" si="20"/>
        <v>9</v>
      </c>
      <c r="E95" s="129">
        <v>0</v>
      </c>
      <c r="F95" s="95">
        <v>2</v>
      </c>
      <c r="G95" s="111">
        <v>9</v>
      </c>
      <c r="H95" s="178">
        <v>4</v>
      </c>
      <c r="I95" s="112">
        <v>4</v>
      </c>
      <c r="J95" s="111">
        <v>7</v>
      </c>
      <c r="K95" s="178">
        <v>5</v>
      </c>
      <c r="L95" s="95">
        <v>5</v>
      </c>
      <c r="M95" s="111">
        <v>2</v>
      </c>
      <c r="N95" s="178">
        <v>6</v>
      </c>
      <c r="O95" s="95"/>
      <c r="P95" s="174">
        <v>0</v>
      </c>
      <c r="Q95" s="114" t="s">
        <v>276</v>
      </c>
      <c r="R95" s="114" t="s">
        <v>255</v>
      </c>
      <c r="S95" s="114">
        <f>SUM(Q97:T97)</f>
        <v>9</v>
      </c>
      <c r="T95" s="138"/>
    </row>
    <row r="96" spans="1:20" ht="15.75">
      <c r="A96">
        <v>73</v>
      </c>
      <c r="B96">
        <v>73</v>
      </c>
      <c r="C96" s="157">
        <f t="shared" si="31"/>
        <v>0</v>
      </c>
      <c r="D96" s="157">
        <f t="shared" si="20"/>
        <v>9</v>
      </c>
      <c r="E96" s="129">
        <v>0</v>
      </c>
      <c r="F96" s="95">
        <v>2</v>
      </c>
      <c r="G96" s="111">
        <v>9</v>
      </c>
      <c r="H96" s="178">
        <v>4</v>
      </c>
      <c r="I96" s="112">
        <v>4</v>
      </c>
      <c r="J96" s="111">
        <v>7</v>
      </c>
      <c r="K96" s="178">
        <v>5</v>
      </c>
      <c r="L96" s="95">
        <v>5</v>
      </c>
      <c r="M96" s="111">
        <v>2</v>
      </c>
      <c r="N96" s="178">
        <v>6</v>
      </c>
      <c r="O96" s="95"/>
      <c r="P96" s="174">
        <v>0</v>
      </c>
      <c r="Q96" s="134" t="s">
        <v>273</v>
      </c>
      <c r="R96" s="134" t="s">
        <v>274</v>
      </c>
      <c r="S96" s="134" t="s">
        <v>275</v>
      </c>
      <c r="T96" s="135" t="s">
        <v>130</v>
      </c>
    </row>
    <row r="97" spans="1:20" ht="16.5" thickBot="1">
      <c r="A97">
        <v>70</v>
      </c>
      <c r="B97">
        <v>70</v>
      </c>
      <c r="C97" s="158">
        <f t="shared" ref="C97" si="32">ABS(A97-B97)</f>
        <v>0</v>
      </c>
      <c r="D97" s="158">
        <f t="shared" si="20"/>
        <v>9</v>
      </c>
      <c r="E97" s="187">
        <v>0</v>
      </c>
      <c r="F97" s="162">
        <v>2</v>
      </c>
      <c r="G97" s="169">
        <v>9</v>
      </c>
      <c r="H97" s="187">
        <v>4</v>
      </c>
      <c r="I97" s="181">
        <v>4</v>
      </c>
      <c r="J97" s="169">
        <v>7</v>
      </c>
      <c r="K97" s="187">
        <v>5</v>
      </c>
      <c r="L97" s="162">
        <v>5</v>
      </c>
      <c r="M97" s="169">
        <v>2</v>
      </c>
      <c r="N97" s="187">
        <v>6</v>
      </c>
      <c r="O97" s="162"/>
      <c r="P97" s="177">
        <v>0</v>
      </c>
      <c r="Q97" s="136">
        <f>IF(AND(S94&lt;=36,S94&gt;=30),9,0)</f>
        <v>9</v>
      </c>
      <c r="R97" s="136">
        <f>IF(AND(S94&lt;=29,S94&gt;=22),7,0)</f>
        <v>0</v>
      </c>
      <c r="S97" s="136">
        <f>IF(AND(S94&lt;=21,S94&gt;=10),2,0)</f>
        <v>0</v>
      </c>
      <c r="T97" s="137">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zoomScaleNormal="70" workbookViewId="0">
      <selection activeCell="B4" sqref="B4"/>
    </sheetView>
  </sheetViews>
  <sheetFormatPr defaultColWidth="12.5703125" defaultRowHeight="15"/>
  <cols>
    <col min="2" max="2" width="19.85546875" customWidth="1"/>
    <col min="3" max="3" width="32.140625" customWidth="1"/>
    <col min="6" max="7" width="22.140625" customWidth="1"/>
    <col min="8" max="8" width="23" customWidth="1"/>
    <col min="9" max="9" width="23.85546875" customWidth="1"/>
  </cols>
  <sheetData>
    <row r="1" spans="1:9" customFormat="1" ht="15.75">
      <c r="A1" s="108" t="s">
        <v>116</v>
      </c>
      <c r="B1" s="108"/>
      <c r="C1" s="108" t="s">
        <v>117</v>
      </c>
      <c r="D1" s="108" t="s">
        <v>125</v>
      </c>
      <c r="E1" s="108" t="s">
        <v>126</v>
      </c>
      <c r="F1" s="108" t="s">
        <v>209</v>
      </c>
      <c r="G1" s="108" t="s">
        <v>210</v>
      </c>
      <c r="H1" s="108" t="s">
        <v>211</v>
      </c>
      <c r="I1" s="108" t="s">
        <v>212</v>
      </c>
    </row>
    <row r="2" spans="1:9" customFormat="1" ht="15.75">
      <c r="A2" s="107" t="s">
        <v>213</v>
      </c>
      <c r="B2" s="107"/>
      <c r="C2" s="107" t="s">
        <v>214</v>
      </c>
      <c r="D2" s="107"/>
      <c r="E2" s="107"/>
      <c r="F2" s="107"/>
      <c r="G2" s="107"/>
      <c r="H2" s="107"/>
      <c r="I2" s="107"/>
    </row>
    <row r="3" spans="1:9" customFormat="1" ht="15.75">
      <c r="A3" s="107" t="s">
        <v>215</v>
      </c>
      <c r="B3" s="107"/>
      <c r="C3" s="107" t="s">
        <v>216</v>
      </c>
      <c r="D3" s="107"/>
      <c r="E3" s="107"/>
      <c r="F3" s="107" t="s">
        <v>198</v>
      </c>
      <c r="G3" s="107" t="s">
        <v>199</v>
      </c>
      <c r="H3" s="107" t="s">
        <v>200</v>
      </c>
      <c r="I3" s="107" t="s">
        <v>201</v>
      </c>
    </row>
    <row r="4" spans="1:9" customFormat="1" ht="15.75">
      <c r="A4" s="107" t="s">
        <v>217</v>
      </c>
      <c r="B4" s="107"/>
      <c r="C4" s="107" t="s">
        <v>216</v>
      </c>
      <c r="D4" s="107"/>
      <c r="E4" s="107"/>
      <c r="F4" s="107" t="s">
        <v>198</v>
      </c>
      <c r="G4" s="107" t="s">
        <v>199</v>
      </c>
      <c r="H4" s="107" t="s">
        <v>200</v>
      </c>
      <c r="I4" s="107" t="s">
        <v>201</v>
      </c>
    </row>
    <row r="5" spans="1:9" customFormat="1" ht="15.75">
      <c r="A5" s="107" t="s">
        <v>218</v>
      </c>
      <c r="B5" s="107"/>
      <c r="C5" s="107" t="s">
        <v>219</v>
      </c>
      <c r="D5" s="107"/>
      <c r="E5" s="107"/>
      <c r="F5" s="107" t="s">
        <v>198</v>
      </c>
      <c r="G5" s="107" t="s">
        <v>199</v>
      </c>
      <c r="H5" s="107" t="s">
        <v>200</v>
      </c>
      <c r="I5" s="107" t="s">
        <v>201</v>
      </c>
    </row>
    <row r="6" spans="1:9" customFormat="1" ht="15.75">
      <c r="A6" s="107" t="s">
        <v>220</v>
      </c>
      <c r="B6" s="107"/>
      <c r="C6" s="107" t="s">
        <v>221</v>
      </c>
      <c r="D6" s="107"/>
      <c r="E6" s="107"/>
      <c r="F6" s="107" t="s">
        <v>198</v>
      </c>
      <c r="G6" s="107" t="s">
        <v>199</v>
      </c>
      <c r="H6" s="107" t="s">
        <v>200</v>
      </c>
      <c r="I6" s="107" t="s">
        <v>201</v>
      </c>
    </row>
    <row r="7" spans="1:9" customFormat="1" ht="15.75">
      <c r="A7" s="107" t="s">
        <v>222</v>
      </c>
      <c r="B7" s="107"/>
      <c r="C7" s="107" t="s">
        <v>223</v>
      </c>
      <c r="D7" s="107"/>
      <c r="E7" s="107"/>
      <c r="F7" s="107" t="s">
        <v>198</v>
      </c>
      <c r="G7" s="107" t="s">
        <v>199</v>
      </c>
      <c r="H7" s="107" t="s">
        <v>200</v>
      </c>
      <c r="I7" s="107" t="s">
        <v>201</v>
      </c>
    </row>
    <row r="8" spans="1:9" customFormat="1" ht="15.75">
      <c r="A8" s="107" t="s">
        <v>224</v>
      </c>
      <c r="B8" s="107"/>
      <c r="C8" s="107" t="s">
        <v>216</v>
      </c>
      <c r="D8" s="107"/>
      <c r="E8" s="107"/>
      <c r="F8" s="107" t="s">
        <v>198</v>
      </c>
      <c r="G8" s="107" t="s">
        <v>199</v>
      </c>
      <c r="H8" s="107" t="s">
        <v>200</v>
      </c>
      <c r="I8" s="107" t="s">
        <v>201</v>
      </c>
    </row>
    <row r="9" spans="1:9" customFormat="1" ht="15.75">
      <c r="A9" s="107" t="s">
        <v>225</v>
      </c>
      <c r="B9" s="107"/>
      <c r="C9" s="107" t="s">
        <v>226</v>
      </c>
      <c r="D9" s="107"/>
      <c r="E9" s="107"/>
      <c r="F9" s="107" t="s">
        <v>204</v>
      </c>
      <c r="G9" s="107" t="s">
        <v>205</v>
      </c>
      <c r="H9" s="107" t="s">
        <v>163</v>
      </c>
      <c r="I9" s="107" t="s">
        <v>115</v>
      </c>
    </row>
    <row r="10" spans="1:9" customFormat="1" ht="15.75">
      <c r="A10" s="107" t="s">
        <v>227</v>
      </c>
      <c r="B10" s="107"/>
      <c r="C10" s="107" t="s">
        <v>226</v>
      </c>
      <c r="D10" s="107"/>
      <c r="E10" s="107"/>
      <c r="F10" s="107" t="s">
        <v>204</v>
      </c>
      <c r="G10" s="107" t="s">
        <v>205</v>
      </c>
      <c r="H10" s="107" t="s">
        <v>163</v>
      </c>
      <c r="I10" s="107" t="s">
        <v>115</v>
      </c>
    </row>
    <row r="11" spans="1:9" customFormat="1" ht="15.75">
      <c r="A11" s="107" t="s">
        <v>228</v>
      </c>
      <c r="B11" s="107"/>
      <c r="C11" s="107" t="s">
        <v>226</v>
      </c>
      <c r="D11" s="107"/>
      <c r="E11" s="107"/>
      <c r="F11" s="107" t="s">
        <v>198</v>
      </c>
      <c r="G11" s="107" t="s">
        <v>199</v>
      </c>
      <c r="H11" s="107" t="s">
        <v>200</v>
      </c>
      <c r="I11" s="107" t="s">
        <v>201</v>
      </c>
    </row>
    <row r="12" spans="1:9" customFormat="1" ht="15.75">
      <c r="A12" s="107" t="s">
        <v>229</v>
      </c>
      <c r="B12" s="107"/>
      <c r="C12" s="107" t="s">
        <v>226</v>
      </c>
      <c r="D12" s="107"/>
      <c r="E12" s="107"/>
      <c r="F12" s="107" t="s">
        <v>198</v>
      </c>
      <c r="G12" s="107" t="s">
        <v>199</v>
      </c>
      <c r="H12" s="107" t="s">
        <v>200</v>
      </c>
      <c r="I12" s="107" t="s">
        <v>201</v>
      </c>
    </row>
    <row r="13" spans="1:9" customFormat="1" ht="15.75">
      <c r="A13" s="107" t="s">
        <v>230</v>
      </c>
      <c r="B13" s="107"/>
      <c r="C13" s="107" t="s">
        <v>226</v>
      </c>
      <c r="D13" s="107"/>
      <c r="E13" s="107"/>
      <c r="F13" s="107" t="s">
        <v>198</v>
      </c>
      <c r="G13" s="107" t="s">
        <v>199</v>
      </c>
      <c r="H13" s="107" t="s">
        <v>200</v>
      </c>
      <c r="I13" s="107" t="s">
        <v>201</v>
      </c>
    </row>
    <row r="14" spans="1:9" customFormat="1" ht="15.75">
      <c r="A14" s="107" t="s">
        <v>231</v>
      </c>
      <c r="B14" s="107"/>
      <c r="C14" s="107" t="s">
        <v>216</v>
      </c>
      <c r="D14" s="107"/>
      <c r="E14" s="107"/>
      <c r="F14" s="107" t="s">
        <v>198</v>
      </c>
      <c r="G14" s="107" t="s">
        <v>199</v>
      </c>
      <c r="H14" s="107" t="s">
        <v>200</v>
      </c>
      <c r="I14" s="107" t="s">
        <v>201</v>
      </c>
    </row>
    <row r="15" spans="1:9" customFormat="1" ht="15.75">
      <c r="A15" s="107" t="s">
        <v>232</v>
      </c>
      <c r="B15" s="107"/>
      <c r="C15" s="107" t="s">
        <v>233</v>
      </c>
      <c r="D15" s="107"/>
      <c r="E15" s="107"/>
      <c r="F15" s="107" t="s">
        <v>198</v>
      </c>
      <c r="G15" s="107" t="s">
        <v>199</v>
      </c>
      <c r="H15" s="107" t="s">
        <v>200</v>
      </c>
      <c r="I15" s="107" t="s">
        <v>201</v>
      </c>
    </row>
    <row r="16" spans="1:9" customFormat="1" ht="15.75">
      <c r="A16" s="107" t="s">
        <v>234</v>
      </c>
      <c r="B16" s="107"/>
      <c r="C16" s="107" t="s">
        <v>235</v>
      </c>
      <c r="D16" s="107"/>
      <c r="E16" s="107"/>
      <c r="F16" s="107" t="s">
        <v>198</v>
      </c>
      <c r="G16" s="107" t="s">
        <v>199</v>
      </c>
      <c r="H16" s="107" t="s">
        <v>200</v>
      </c>
      <c r="I16" s="107" t="s">
        <v>201</v>
      </c>
    </row>
    <row r="17" spans="1:10" customFormat="1" ht="15.75">
      <c r="A17" s="107" t="s">
        <v>236</v>
      </c>
      <c r="B17" s="107"/>
      <c r="C17" s="107" t="s">
        <v>237</v>
      </c>
      <c r="D17" s="107"/>
      <c r="E17" s="107"/>
      <c r="F17" s="107" t="s">
        <v>198</v>
      </c>
      <c r="G17" s="107" t="s">
        <v>199</v>
      </c>
      <c r="H17" s="107" t="s">
        <v>200</v>
      </c>
      <c r="I17" s="107" t="s">
        <v>201</v>
      </c>
    </row>
    <row r="18" spans="1:10" customFormat="1" ht="15.75">
      <c r="A18" s="107" t="s">
        <v>238</v>
      </c>
      <c r="B18" s="107"/>
      <c r="C18" s="107" t="s">
        <v>216</v>
      </c>
      <c r="D18" s="107"/>
      <c r="E18" s="107"/>
      <c r="F18" s="107" t="s">
        <v>198</v>
      </c>
      <c r="G18" s="107" t="s">
        <v>199</v>
      </c>
      <c r="H18" s="107" t="s">
        <v>200</v>
      </c>
      <c r="I18" s="107" t="s">
        <v>201</v>
      </c>
    </row>
    <row r="19" spans="1:10" customFormat="1" ht="15.75">
      <c r="A19" s="107" t="s">
        <v>239</v>
      </c>
      <c r="B19" s="107"/>
      <c r="C19" s="107" t="s">
        <v>240</v>
      </c>
      <c r="D19" s="107"/>
      <c r="E19" s="107"/>
      <c r="F19" s="107" t="s">
        <v>198</v>
      </c>
      <c r="G19" s="107" t="s">
        <v>199</v>
      </c>
      <c r="H19" s="107" t="s">
        <v>200</v>
      </c>
      <c r="I19" s="107" t="s">
        <v>201</v>
      </c>
    </row>
    <row r="20" spans="1:10" customFormat="1"/>
    <row r="21" spans="1:10" customFormat="1" ht="15.75">
      <c r="A21" s="108" t="s">
        <v>116</v>
      </c>
      <c r="B21" s="108"/>
      <c r="C21" s="108" t="s">
        <v>117</v>
      </c>
      <c r="D21" s="108" t="s">
        <v>125</v>
      </c>
      <c r="E21" s="108" t="s">
        <v>126</v>
      </c>
      <c r="F21" s="108" t="s">
        <v>127</v>
      </c>
      <c r="G21" s="108" t="s">
        <v>128</v>
      </c>
      <c r="H21" s="108" t="s">
        <v>129</v>
      </c>
      <c r="I21" s="108" t="s">
        <v>130</v>
      </c>
      <c r="J21" s="109"/>
    </row>
    <row r="22" spans="1:10" customFormat="1" ht="15.75">
      <c r="A22" s="107" t="s">
        <v>133</v>
      </c>
      <c r="B22" s="107"/>
      <c r="C22" s="107" t="s">
        <v>133</v>
      </c>
      <c r="D22" s="107"/>
      <c r="E22" s="107"/>
      <c r="F22" s="107"/>
      <c r="G22" s="107"/>
      <c r="H22" s="107"/>
      <c r="I22" s="107"/>
      <c r="J22" s="107"/>
    </row>
    <row r="23" spans="1:10" customFormat="1" ht="15.75">
      <c r="A23" s="107" t="s">
        <v>134</v>
      </c>
      <c r="B23" s="107"/>
      <c r="C23" s="107" t="s">
        <v>135</v>
      </c>
      <c r="D23" s="107"/>
      <c r="E23" s="107"/>
      <c r="F23" s="107" t="s">
        <v>111</v>
      </c>
      <c r="G23" s="107" t="s">
        <v>112</v>
      </c>
      <c r="H23" s="107" t="s">
        <v>113</v>
      </c>
      <c r="I23" s="107" t="s">
        <v>110</v>
      </c>
      <c r="J23" s="107"/>
    </row>
    <row r="24" spans="1:10" customFormat="1" ht="15.75">
      <c r="A24" s="107" t="s">
        <v>136</v>
      </c>
      <c r="B24" s="107"/>
      <c r="C24" s="107" t="s">
        <v>137</v>
      </c>
      <c r="D24" s="107"/>
      <c r="E24" s="107"/>
      <c r="F24" s="107" t="s">
        <v>108</v>
      </c>
      <c r="G24" s="107" t="s">
        <v>138</v>
      </c>
      <c r="H24" s="107" t="s">
        <v>109</v>
      </c>
      <c r="I24" s="107" t="s">
        <v>123</v>
      </c>
      <c r="J24" s="107"/>
    </row>
    <row r="25" spans="1:10" customFormat="1" ht="15.75">
      <c r="A25" s="107" t="s">
        <v>139</v>
      </c>
      <c r="B25" s="107"/>
      <c r="C25" s="107" t="s">
        <v>137</v>
      </c>
      <c r="D25" s="107"/>
      <c r="E25" s="107"/>
      <c r="F25" s="107" t="s">
        <v>140</v>
      </c>
      <c r="G25" s="107" t="s">
        <v>141</v>
      </c>
      <c r="H25" s="107" t="s">
        <v>123</v>
      </c>
      <c r="I25" s="107"/>
      <c r="J25" s="107"/>
    </row>
    <row r="26" spans="1:10" customFormat="1" ht="15.75">
      <c r="A26" s="107" t="s">
        <v>142</v>
      </c>
      <c r="B26" s="107"/>
      <c r="C26" s="107" t="s">
        <v>137</v>
      </c>
      <c r="D26" s="107"/>
      <c r="E26" s="107"/>
      <c r="F26" s="107" t="s">
        <v>143</v>
      </c>
      <c r="G26" s="107" t="s">
        <v>144</v>
      </c>
      <c r="H26" s="107" t="s">
        <v>145</v>
      </c>
      <c r="I26" s="107"/>
      <c r="J26" s="107"/>
    </row>
    <row r="27" spans="1:10" customFormat="1" ht="15.75">
      <c r="A27" s="107" t="s">
        <v>146</v>
      </c>
      <c r="B27" s="107"/>
      <c r="C27" s="107" t="s">
        <v>147</v>
      </c>
      <c r="D27" s="107"/>
      <c r="E27" s="107"/>
      <c r="F27" s="107" t="s">
        <v>148</v>
      </c>
      <c r="G27" s="107" t="s">
        <v>149</v>
      </c>
      <c r="H27" s="107" t="s">
        <v>115</v>
      </c>
      <c r="I27" s="107"/>
      <c r="J27" s="107"/>
    </row>
    <row r="28" spans="1:10" customFormat="1" ht="15.75">
      <c r="A28" s="107" t="s">
        <v>150</v>
      </c>
      <c r="B28" s="107"/>
      <c r="C28" s="107" t="s">
        <v>151</v>
      </c>
      <c r="D28" s="107"/>
      <c r="E28" s="107"/>
      <c r="F28" s="107" t="s">
        <v>111</v>
      </c>
      <c r="G28" s="107" t="s">
        <v>112</v>
      </c>
      <c r="H28" s="107" t="s">
        <v>113</v>
      </c>
      <c r="I28" s="107" t="s">
        <v>110</v>
      </c>
      <c r="J28" s="107"/>
    </row>
    <row r="29" spans="1:10" customFormat="1" ht="15.75">
      <c r="A29" s="108" t="s">
        <v>116</v>
      </c>
      <c r="B29" s="108"/>
      <c r="C29" s="108" t="s">
        <v>117</v>
      </c>
      <c r="D29" s="108" t="s">
        <v>152</v>
      </c>
      <c r="E29" s="108" t="s">
        <v>126</v>
      </c>
      <c r="F29" s="108" t="s">
        <v>153</v>
      </c>
      <c r="G29" s="108" t="s">
        <v>154</v>
      </c>
      <c r="H29" s="108" t="s">
        <v>155</v>
      </c>
      <c r="I29" s="108" t="s">
        <v>156</v>
      </c>
      <c r="J29" s="108" t="s">
        <v>157</v>
      </c>
    </row>
    <row r="30" spans="1:10" customFormat="1" ht="15.75">
      <c r="A30" s="107" t="s">
        <v>158</v>
      </c>
      <c r="B30" s="107"/>
      <c r="C30" s="107" t="s">
        <v>158</v>
      </c>
      <c r="D30" s="107"/>
      <c r="E30" s="107"/>
      <c r="F30" s="107"/>
      <c r="G30" s="107"/>
      <c r="H30" s="107"/>
      <c r="I30" s="107"/>
      <c r="J30" s="107"/>
    </row>
    <row r="31" spans="1:10" customFormat="1" ht="15.75">
      <c r="A31" s="107" t="s">
        <v>159</v>
      </c>
      <c r="B31" s="107"/>
      <c r="C31" s="107" t="s">
        <v>160</v>
      </c>
      <c r="D31" s="107"/>
      <c r="E31" s="107"/>
      <c r="F31" s="107" t="s">
        <v>161</v>
      </c>
      <c r="G31" s="107" t="s">
        <v>162</v>
      </c>
      <c r="H31" s="107" t="s">
        <v>163</v>
      </c>
      <c r="I31" s="107" t="s">
        <v>164</v>
      </c>
      <c r="J31" s="107"/>
    </row>
    <row r="32" spans="1:10" customFormat="1" ht="15.75">
      <c r="A32" s="107" t="s">
        <v>165</v>
      </c>
      <c r="B32" s="107"/>
      <c r="C32" s="107" t="s">
        <v>166</v>
      </c>
      <c r="D32" s="107"/>
      <c r="E32" s="107"/>
      <c r="F32" s="107" t="s">
        <v>131</v>
      </c>
      <c r="G32" s="107" t="s">
        <v>167</v>
      </c>
      <c r="H32" s="107" t="s">
        <v>168</v>
      </c>
      <c r="I32" s="107" t="s">
        <v>145</v>
      </c>
      <c r="J32" s="107"/>
    </row>
    <row r="33" spans="1:10" customFormat="1" ht="15.75">
      <c r="A33" s="107" t="s">
        <v>169</v>
      </c>
      <c r="B33" s="107"/>
      <c r="C33" s="107" t="s">
        <v>166</v>
      </c>
      <c r="D33" s="107"/>
      <c r="E33" s="107"/>
      <c r="F33" s="107" t="s">
        <v>132</v>
      </c>
      <c r="G33" s="107" t="s">
        <v>170</v>
      </c>
      <c r="H33" s="107" t="s">
        <v>168</v>
      </c>
      <c r="I33" s="107" t="s">
        <v>145</v>
      </c>
      <c r="J33" s="107"/>
    </row>
    <row r="34" spans="1:10" customFormat="1" ht="15.75">
      <c r="A34" s="107" t="s">
        <v>171</v>
      </c>
      <c r="B34" s="107"/>
      <c r="C34" s="107" t="s">
        <v>172</v>
      </c>
      <c r="D34" s="107"/>
      <c r="E34" s="107"/>
      <c r="F34" s="107" t="s">
        <v>131</v>
      </c>
      <c r="G34" s="107" t="s">
        <v>167</v>
      </c>
      <c r="H34" s="107" t="s">
        <v>168</v>
      </c>
      <c r="I34" s="107" t="s">
        <v>145</v>
      </c>
      <c r="J34" s="107"/>
    </row>
    <row r="35" spans="1:10" customFormat="1" ht="15.75">
      <c r="A35" s="107" t="s">
        <v>173</v>
      </c>
      <c r="B35" s="107"/>
      <c r="C35" s="107" t="s">
        <v>174</v>
      </c>
      <c r="D35" s="107"/>
      <c r="E35" s="107"/>
      <c r="F35" s="107" t="s">
        <v>175</v>
      </c>
      <c r="G35" s="107" t="s">
        <v>176</v>
      </c>
      <c r="H35" s="107" t="s">
        <v>177</v>
      </c>
      <c r="I35" s="107" t="s">
        <v>178</v>
      </c>
      <c r="J35" s="107"/>
    </row>
    <row r="36" spans="1:10" customFormat="1" ht="15.75">
      <c r="A36" s="107" t="s">
        <v>179</v>
      </c>
      <c r="B36" s="107"/>
      <c r="C36" s="107" t="s">
        <v>174</v>
      </c>
      <c r="D36" s="107"/>
      <c r="E36" s="107"/>
      <c r="F36" s="107" t="s">
        <v>175</v>
      </c>
      <c r="G36" s="107" t="s">
        <v>176</v>
      </c>
      <c r="H36" s="107" t="s">
        <v>177</v>
      </c>
      <c r="I36" s="107" t="s">
        <v>178</v>
      </c>
      <c r="J36" s="107"/>
    </row>
    <row r="37" spans="1:10" customFormat="1"/>
    <row r="38" spans="1:10" customFormat="1"/>
    <row r="39" spans="1:10" customFormat="1" ht="15.75">
      <c r="A39" s="108" t="s">
        <v>116</v>
      </c>
      <c r="B39" s="108"/>
      <c r="C39" s="108" t="s">
        <v>117</v>
      </c>
      <c r="D39" s="108" t="s">
        <v>152</v>
      </c>
      <c r="E39" s="108" t="s">
        <v>126</v>
      </c>
      <c r="F39" s="108" t="s">
        <v>153</v>
      </c>
      <c r="G39" s="108" t="s">
        <v>154</v>
      </c>
      <c r="H39" s="108" t="s">
        <v>180</v>
      </c>
      <c r="I39" s="108" t="s">
        <v>181</v>
      </c>
      <c r="J39" s="108" t="s">
        <v>157</v>
      </c>
    </row>
    <row r="40" spans="1:10" customFormat="1" ht="15.75">
      <c r="A40" s="107" t="s">
        <v>182</v>
      </c>
      <c r="B40" s="107"/>
      <c r="C40" s="107" t="s">
        <v>182</v>
      </c>
      <c r="D40" s="107"/>
      <c r="E40" s="107"/>
      <c r="F40" s="107"/>
      <c r="G40" s="107"/>
      <c r="H40" s="107"/>
      <c r="I40" s="107"/>
      <c r="J40" s="107"/>
    </row>
    <row r="41" spans="1:10" customFormat="1" ht="15.75">
      <c r="A41" s="107" t="s">
        <v>183</v>
      </c>
      <c r="B41" s="107"/>
      <c r="C41" s="107" t="s">
        <v>184</v>
      </c>
      <c r="D41" s="107"/>
      <c r="E41" s="107"/>
      <c r="F41" s="107" t="s">
        <v>185</v>
      </c>
      <c r="G41" s="107" t="s">
        <v>186</v>
      </c>
      <c r="H41" s="107" t="s">
        <v>187</v>
      </c>
      <c r="I41" s="107" t="s">
        <v>124</v>
      </c>
      <c r="J41" s="107"/>
    </row>
    <row r="42" spans="1:10" customFormat="1" ht="15.75">
      <c r="A42" s="107" t="s">
        <v>188</v>
      </c>
      <c r="B42" s="107"/>
      <c r="C42" s="107" t="s">
        <v>184</v>
      </c>
      <c r="D42" s="107"/>
      <c r="E42" s="107"/>
      <c r="F42" s="107" t="s">
        <v>143</v>
      </c>
      <c r="G42" s="107" t="s">
        <v>189</v>
      </c>
      <c r="H42" s="107" t="s">
        <v>114</v>
      </c>
      <c r="I42" s="107" t="s">
        <v>145</v>
      </c>
      <c r="J42" s="107"/>
    </row>
    <row r="43" spans="1:10" customFormat="1" ht="15.75">
      <c r="A43" s="107" t="s">
        <v>190</v>
      </c>
      <c r="B43" s="107"/>
      <c r="C43" s="107" t="s">
        <v>184</v>
      </c>
      <c r="D43" s="107"/>
      <c r="E43" s="107"/>
      <c r="F43" s="107" t="s">
        <v>161</v>
      </c>
      <c r="G43" s="107" t="s">
        <v>191</v>
      </c>
      <c r="H43" s="107" t="s">
        <v>187</v>
      </c>
      <c r="I43" s="107" t="s">
        <v>124</v>
      </c>
      <c r="J43" s="107"/>
    </row>
    <row r="44" spans="1:10" customFormat="1" ht="15.75">
      <c r="A44" s="107" t="s">
        <v>192</v>
      </c>
      <c r="B44" s="107"/>
      <c r="C44" s="107" t="s">
        <v>184</v>
      </c>
      <c r="D44" s="107"/>
      <c r="E44" s="107"/>
      <c r="F44" s="107" t="s">
        <v>193</v>
      </c>
      <c r="G44" s="107" t="s">
        <v>194</v>
      </c>
      <c r="H44" s="107" t="s">
        <v>187</v>
      </c>
      <c r="I44" s="107" t="s">
        <v>195</v>
      </c>
      <c r="J44" s="107"/>
    </row>
    <row r="45" spans="1:10" customFormat="1" ht="15.75">
      <c r="A45" s="107" t="s">
        <v>196</v>
      </c>
      <c r="B45" s="107"/>
      <c r="C45" s="107" t="s">
        <v>197</v>
      </c>
      <c r="D45" s="107"/>
      <c r="E45" s="107"/>
      <c r="F45" s="107" t="s">
        <v>198</v>
      </c>
      <c r="G45" s="107" t="s">
        <v>199</v>
      </c>
      <c r="H45" s="107" t="s">
        <v>200</v>
      </c>
      <c r="I45" s="107" t="s">
        <v>201</v>
      </c>
      <c r="J45" s="107"/>
    </row>
    <row r="46" spans="1:10" customFormat="1" ht="15.75">
      <c r="A46" s="107" t="s">
        <v>202</v>
      </c>
      <c r="B46" s="107"/>
      <c r="C46" s="107" t="s">
        <v>197</v>
      </c>
      <c r="D46" s="107"/>
      <c r="E46" s="107"/>
      <c r="F46" s="107" t="s">
        <v>198</v>
      </c>
      <c r="G46" s="107" t="s">
        <v>199</v>
      </c>
      <c r="H46" s="107" t="s">
        <v>200</v>
      </c>
      <c r="I46" s="107" t="s">
        <v>201</v>
      </c>
      <c r="J46" s="107"/>
    </row>
    <row r="47" spans="1:10" customFormat="1" ht="15.75">
      <c r="A47" s="107" t="s">
        <v>203</v>
      </c>
      <c r="B47" s="107"/>
      <c r="C47" s="107" t="s">
        <v>197</v>
      </c>
      <c r="D47" s="107"/>
      <c r="E47" s="107"/>
      <c r="F47" s="107" t="s">
        <v>204</v>
      </c>
      <c r="G47" s="107" t="s">
        <v>205</v>
      </c>
      <c r="H47" s="107" t="s">
        <v>163</v>
      </c>
      <c r="I47" s="107" t="s">
        <v>115</v>
      </c>
      <c r="J47" s="107"/>
    </row>
    <row r="48" spans="1:10" customFormat="1" ht="15.75">
      <c r="A48" s="107" t="s">
        <v>206</v>
      </c>
      <c r="B48" s="107"/>
      <c r="C48" s="107" t="s">
        <v>197</v>
      </c>
      <c r="D48" s="107"/>
      <c r="E48" s="107"/>
      <c r="F48" s="107" t="s">
        <v>207</v>
      </c>
      <c r="G48" s="107" t="s">
        <v>124</v>
      </c>
      <c r="H48" s="107"/>
      <c r="I48" s="107"/>
      <c r="J48" s="107"/>
    </row>
    <row r="49" spans="1:10" customFormat="1" ht="15.75">
      <c r="A49" s="107" t="s">
        <v>208</v>
      </c>
      <c r="B49" s="107"/>
      <c r="C49" s="107" t="s">
        <v>197</v>
      </c>
      <c r="D49" s="107"/>
      <c r="E49" s="107"/>
      <c r="F49" s="107" t="s">
        <v>204</v>
      </c>
      <c r="G49" s="107" t="s">
        <v>205</v>
      </c>
      <c r="H49" s="107" t="s">
        <v>163</v>
      </c>
      <c r="I49" s="107" t="s">
        <v>115</v>
      </c>
      <c r="J49" s="107"/>
    </row>
    <row r="50" spans="1:10" customFormat="1"/>
    <row r="51" spans="1:10" customFormat="1"/>
    <row r="52" spans="1:10" customFormat="1"/>
    <row r="53" spans="1:10" customFormat="1"/>
    <row r="54" spans="1:10" customFormat="1"/>
    <row r="55" spans="1:10" customFormat="1"/>
    <row r="56" spans="1:10" customFormat="1"/>
    <row r="57" spans="1:10" customFormat="1"/>
    <row r="58" spans="1:10" customFormat="1"/>
    <row r="59" spans="1:10" customFormat="1"/>
    <row r="60" spans="1:10" customFormat="1"/>
    <row r="61" spans="1:10" customFormat="1"/>
    <row r="62" spans="1:10" customFormat="1"/>
    <row r="63" spans="1:10" customFormat="1"/>
    <row r="64" spans="1:1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D7" zoomScale="135" workbookViewId="0">
      <selection activeCell="L17" sqref="L17"/>
    </sheetView>
  </sheetViews>
  <sheetFormatPr defaultColWidth="8.85546875" defaultRowHeight="15"/>
  <cols>
    <col min="1" max="1" width="3.7109375" customWidth="1"/>
    <col min="2" max="2" width="19.140625" customWidth="1"/>
    <col min="3" max="3" width="16.28515625" bestFit="1" customWidth="1"/>
    <col min="4" max="4" width="16.28515625" customWidth="1"/>
    <col min="5" max="5" width="12.42578125" customWidth="1"/>
    <col min="7" max="7" width="13.28515625" customWidth="1"/>
    <col min="8" max="8" width="11.28515625" customWidth="1"/>
    <col min="11" max="11" width="14.140625" customWidth="1"/>
    <col min="12" max="12" width="12.28515625" customWidth="1"/>
    <col min="13" max="13" width="12" customWidth="1"/>
  </cols>
  <sheetData>
    <row r="1" spans="2:16" ht="15.75" thickBot="1"/>
    <row r="2" spans="2:16" ht="15.75" thickBot="1">
      <c r="B2" s="62" t="s">
        <v>58</v>
      </c>
      <c r="C2" s="64" t="s">
        <v>59</v>
      </c>
      <c r="D2" s="64" t="s">
        <v>60</v>
      </c>
      <c r="E2" s="63" t="s">
        <v>61</v>
      </c>
      <c r="G2" s="240" t="s">
        <v>79</v>
      </c>
      <c r="H2" s="241"/>
      <c r="I2" s="241"/>
      <c r="J2" s="241"/>
      <c r="K2" s="241"/>
      <c r="L2" s="241"/>
      <c r="M2" s="241"/>
      <c r="N2" s="241"/>
      <c r="O2" s="241"/>
      <c r="P2" s="242"/>
    </row>
    <row r="3" spans="2:16">
      <c r="B3" s="68" t="s">
        <v>56</v>
      </c>
      <c r="C3" s="68" t="s">
        <v>69</v>
      </c>
      <c r="D3" s="68" t="s">
        <v>54</v>
      </c>
      <c r="E3" s="68" t="s">
        <v>62</v>
      </c>
      <c r="G3" s="69" t="s">
        <v>78</v>
      </c>
      <c r="H3" s="70" t="s">
        <v>68</v>
      </c>
      <c r="I3" s="70" t="s">
        <v>67</v>
      </c>
      <c r="J3" s="70" t="s">
        <v>66</v>
      </c>
      <c r="K3" s="70" t="s">
        <v>65</v>
      </c>
      <c r="L3" s="70" t="s">
        <v>64</v>
      </c>
      <c r="M3" s="70" t="s">
        <v>57</v>
      </c>
      <c r="N3" s="70" t="s">
        <v>63</v>
      </c>
      <c r="O3" s="70" t="s">
        <v>62</v>
      </c>
      <c r="P3" s="70" t="s">
        <v>47</v>
      </c>
    </row>
    <row r="4" spans="2:16">
      <c r="B4" s="65" t="s">
        <v>46</v>
      </c>
      <c r="C4" s="65" t="s">
        <v>54</v>
      </c>
      <c r="D4" s="65" t="s">
        <v>74</v>
      </c>
      <c r="E4" s="65" t="s">
        <v>63</v>
      </c>
      <c r="G4" s="66" t="s">
        <v>62</v>
      </c>
      <c r="H4" s="66">
        <v>9</v>
      </c>
      <c r="I4" s="66">
        <v>9</v>
      </c>
      <c r="J4" s="66">
        <v>9</v>
      </c>
      <c r="K4" s="66">
        <v>9</v>
      </c>
      <c r="L4" s="66">
        <v>9</v>
      </c>
      <c r="M4" s="66">
        <v>9</v>
      </c>
      <c r="N4" s="66">
        <v>9</v>
      </c>
      <c r="O4" s="66">
        <v>9</v>
      </c>
      <c r="P4" s="67">
        <v>0</v>
      </c>
    </row>
    <row r="5" spans="2:16">
      <c r="B5" s="65" t="s">
        <v>47</v>
      </c>
      <c r="C5" s="65" t="s">
        <v>70</v>
      </c>
      <c r="D5" s="65" t="s">
        <v>55</v>
      </c>
      <c r="E5" s="65" t="s">
        <v>57</v>
      </c>
      <c r="G5" s="66" t="s">
        <v>63</v>
      </c>
      <c r="H5" s="66">
        <v>9</v>
      </c>
      <c r="I5" s="67">
        <v>0</v>
      </c>
      <c r="J5" s="66">
        <v>9</v>
      </c>
      <c r="K5" s="67">
        <v>0</v>
      </c>
      <c r="L5" s="66">
        <v>9</v>
      </c>
      <c r="M5" s="67">
        <v>0</v>
      </c>
      <c r="N5" s="66">
        <v>9</v>
      </c>
      <c r="O5" s="67">
        <v>0</v>
      </c>
      <c r="P5" s="67">
        <v>0</v>
      </c>
    </row>
    <row r="6" spans="2:16">
      <c r="B6" s="65"/>
      <c r="C6" s="65" t="s">
        <v>71</v>
      </c>
      <c r="D6" s="65" t="s">
        <v>75</v>
      </c>
      <c r="E6" s="65" t="s">
        <v>64</v>
      </c>
      <c r="G6" s="66" t="s">
        <v>57</v>
      </c>
      <c r="H6" s="66">
        <v>9</v>
      </c>
      <c r="I6" s="66">
        <v>9</v>
      </c>
      <c r="J6" s="67">
        <v>0</v>
      </c>
      <c r="K6" s="67">
        <v>0</v>
      </c>
      <c r="L6" s="66">
        <v>9</v>
      </c>
      <c r="M6" s="66">
        <v>9</v>
      </c>
      <c r="N6" s="67">
        <v>0</v>
      </c>
      <c r="O6" s="67">
        <v>0</v>
      </c>
      <c r="P6" s="67">
        <v>0</v>
      </c>
    </row>
    <row r="7" spans="2:16">
      <c r="B7" s="65"/>
      <c r="C7" s="65" t="s">
        <v>72</v>
      </c>
      <c r="D7" s="65" t="s">
        <v>76</v>
      </c>
      <c r="E7" s="65" t="s">
        <v>65</v>
      </c>
      <c r="G7" s="66" t="s">
        <v>64</v>
      </c>
      <c r="H7" s="66">
        <v>9</v>
      </c>
      <c r="I7" s="67">
        <v>0</v>
      </c>
      <c r="J7" s="67">
        <v>0</v>
      </c>
      <c r="K7" s="67">
        <v>0</v>
      </c>
      <c r="L7" s="66">
        <v>9</v>
      </c>
      <c r="M7" s="67">
        <v>0</v>
      </c>
      <c r="N7" s="67">
        <v>0</v>
      </c>
      <c r="O7" s="67">
        <v>0</v>
      </c>
      <c r="P7" s="67">
        <v>0</v>
      </c>
    </row>
    <row r="8" spans="2:16">
      <c r="B8" s="65"/>
      <c r="C8" s="65" t="s">
        <v>73</v>
      </c>
      <c r="D8" s="65" t="s">
        <v>69</v>
      </c>
      <c r="E8" s="65" t="s">
        <v>66</v>
      </c>
      <c r="G8" s="66" t="s">
        <v>65</v>
      </c>
      <c r="H8" s="66">
        <v>9</v>
      </c>
      <c r="I8" s="66">
        <v>9</v>
      </c>
      <c r="J8" s="66">
        <v>9</v>
      </c>
      <c r="K8" s="66">
        <v>9</v>
      </c>
      <c r="L8" s="67">
        <v>0</v>
      </c>
      <c r="M8" s="67">
        <v>0</v>
      </c>
      <c r="N8" s="67">
        <v>0</v>
      </c>
      <c r="O8" s="67">
        <v>0</v>
      </c>
      <c r="P8" s="67">
        <v>0</v>
      </c>
    </row>
    <row r="9" spans="2:16">
      <c r="B9" s="65"/>
      <c r="C9" s="65" t="s">
        <v>47</v>
      </c>
      <c r="D9" s="65" t="s">
        <v>77</v>
      </c>
      <c r="E9" s="65" t="s">
        <v>67</v>
      </c>
      <c r="G9" s="66" t="s">
        <v>66</v>
      </c>
      <c r="H9" s="66">
        <v>9</v>
      </c>
      <c r="I9" s="67">
        <v>0</v>
      </c>
      <c r="J9" s="66">
        <v>9</v>
      </c>
      <c r="K9" s="67">
        <v>0</v>
      </c>
      <c r="L9" s="67">
        <v>0</v>
      </c>
      <c r="M9" s="67">
        <v>0</v>
      </c>
      <c r="N9" s="67">
        <v>0</v>
      </c>
      <c r="O9" s="67">
        <v>0</v>
      </c>
      <c r="P9" s="67">
        <v>0</v>
      </c>
    </row>
    <row r="10" spans="2:16">
      <c r="B10" s="65"/>
      <c r="C10" s="65"/>
      <c r="D10" s="65" t="s">
        <v>47</v>
      </c>
      <c r="E10" s="65" t="s">
        <v>68</v>
      </c>
      <c r="G10" s="66" t="s">
        <v>67</v>
      </c>
      <c r="H10" s="66">
        <v>9</v>
      </c>
      <c r="I10" s="66">
        <v>9</v>
      </c>
      <c r="J10" s="67">
        <v>0</v>
      </c>
      <c r="K10" s="67">
        <v>0</v>
      </c>
      <c r="L10" s="67">
        <v>0</v>
      </c>
      <c r="M10" s="67">
        <v>0</v>
      </c>
      <c r="N10" s="67">
        <v>0</v>
      </c>
      <c r="O10" s="67">
        <v>0</v>
      </c>
      <c r="P10" s="67">
        <v>0</v>
      </c>
    </row>
    <row r="11" spans="2:16">
      <c r="B11" s="65"/>
      <c r="C11" s="65"/>
      <c r="D11" s="65"/>
      <c r="E11" s="65" t="s">
        <v>47</v>
      </c>
      <c r="G11" s="66" t="s">
        <v>68</v>
      </c>
      <c r="H11" s="66">
        <v>9</v>
      </c>
      <c r="I11" s="67">
        <v>0</v>
      </c>
      <c r="J11" s="67">
        <v>0</v>
      </c>
      <c r="K11" s="67">
        <v>0</v>
      </c>
      <c r="L11" s="67">
        <v>0</v>
      </c>
      <c r="M11" s="67">
        <v>0</v>
      </c>
      <c r="N11" s="67">
        <v>0</v>
      </c>
      <c r="O11" s="67">
        <v>0</v>
      </c>
      <c r="P11" s="67">
        <v>0</v>
      </c>
    </row>
    <row r="12" spans="2:16">
      <c r="G12" s="66" t="s">
        <v>47</v>
      </c>
      <c r="H12" s="67">
        <v>0</v>
      </c>
      <c r="I12" s="67">
        <v>0</v>
      </c>
      <c r="J12" s="67">
        <v>0</v>
      </c>
      <c r="K12" s="67">
        <v>0</v>
      </c>
      <c r="L12" s="67">
        <v>0</v>
      </c>
      <c r="M12" s="67">
        <v>0</v>
      </c>
      <c r="N12" s="67">
        <v>0</v>
      </c>
      <c r="O12" s="67">
        <v>0</v>
      </c>
      <c r="P12" s="67">
        <v>0</v>
      </c>
    </row>
    <row r="13" spans="2:16" ht="15.75" thickBot="1"/>
    <row r="14" spans="2:16" ht="15.75" thickBot="1">
      <c r="B14" s="75" t="s">
        <v>82</v>
      </c>
      <c r="C14" s="76"/>
      <c r="D14" s="76"/>
      <c r="E14" s="76"/>
      <c r="F14" s="76"/>
      <c r="G14" s="76"/>
      <c r="H14" s="76"/>
      <c r="I14" s="77"/>
      <c r="K14" s="123" t="s">
        <v>285</v>
      </c>
      <c r="L14" s="123" t="s">
        <v>286</v>
      </c>
      <c r="M14" s="123" t="s">
        <v>281</v>
      </c>
    </row>
    <row r="15" spans="2:16" ht="30.75" thickBot="1">
      <c r="B15" s="71" t="s">
        <v>80</v>
      </c>
      <c r="C15" s="78" t="s">
        <v>69</v>
      </c>
      <c r="D15" s="78" t="s">
        <v>54</v>
      </c>
      <c r="E15" s="78" t="s">
        <v>70</v>
      </c>
      <c r="F15" s="78" t="s">
        <v>71</v>
      </c>
      <c r="G15" s="78" t="s">
        <v>72</v>
      </c>
      <c r="H15" s="78" t="s">
        <v>73</v>
      </c>
      <c r="I15" s="78" t="s">
        <v>47</v>
      </c>
      <c r="K15" s="121">
        <v>0</v>
      </c>
      <c r="L15" s="121">
        <v>9</v>
      </c>
      <c r="M15" s="121" t="s">
        <v>282</v>
      </c>
    </row>
    <row r="16" spans="2:16" ht="24.75" thickBot="1">
      <c r="B16" s="72" t="s">
        <v>81</v>
      </c>
      <c r="C16" s="73"/>
      <c r="D16" s="73"/>
      <c r="E16" s="73"/>
      <c r="F16" s="73"/>
      <c r="G16" s="73"/>
      <c r="H16" s="73"/>
      <c r="I16" s="73"/>
      <c r="K16" s="189" t="s">
        <v>287</v>
      </c>
      <c r="L16" s="121">
        <v>36</v>
      </c>
      <c r="M16" s="122" t="s">
        <v>284</v>
      </c>
    </row>
    <row r="17" spans="2:12" ht="15.75" thickBot="1">
      <c r="B17" s="73" t="s">
        <v>69</v>
      </c>
      <c r="C17" s="74">
        <v>5</v>
      </c>
      <c r="D17" s="74">
        <v>4</v>
      </c>
      <c r="E17" s="74">
        <v>0</v>
      </c>
      <c r="F17" s="74">
        <v>0</v>
      </c>
      <c r="G17" s="74">
        <v>0</v>
      </c>
      <c r="H17" s="74">
        <v>1</v>
      </c>
      <c r="I17" s="74">
        <v>0</v>
      </c>
      <c r="K17" s="189" t="s">
        <v>288</v>
      </c>
      <c r="L17" s="121">
        <f>L16+55</f>
        <v>91</v>
      </c>
    </row>
    <row r="18" spans="2:12" ht="15.75" thickBot="1">
      <c r="B18" s="73" t="s">
        <v>54</v>
      </c>
      <c r="C18" s="74">
        <v>4</v>
      </c>
      <c r="D18" s="74">
        <v>5</v>
      </c>
      <c r="E18" s="74">
        <v>3</v>
      </c>
      <c r="F18" s="74">
        <v>1</v>
      </c>
      <c r="G18" s="74">
        <v>1</v>
      </c>
      <c r="H18" s="74">
        <v>1</v>
      </c>
      <c r="I18" s="74">
        <v>0</v>
      </c>
    </row>
    <row r="19" spans="2:12" ht="15.75" thickBot="1">
      <c r="B19" s="73" t="s">
        <v>70</v>
      </c>
      <c r="C19" s="74">
        <v>0</v>
      </c>
      <c r="D19" s="74">
        <v>3</v>
      </c>
      <c r="E19" s="74">
        <v>5</v>
      </c>
      <c r="F19" s="74">
        <v>1</v>
      </c>
      <c r="G19" s="74">
        <v>1</v>
      </c>
      <c r="H19" s="74">
        <v>1</v>
      </c>
      <c r="I19" s="74">
        <v>0</v>
      </c>
    </row>
    <row r="20" spans="2:12" ht="15.75" thickBot="1">
      <c r="B20" s="73" t="s">
        <v>71</v>
      </c>
      <c r="C20" s="74">
        <v>1</v>
      </c>
      <c r="D20" s="74">
        <v>1</v>
      </c>
      <c r="E20" s="74">
        <v>1</v>
      </c>
      <c r="F20" s="74">
        <v>1</v>
      </c>
      <c r="G20" s="74">
        <v>1</v>
      </c>
      <c r="H20" s="74">
        <v>5</v>
      </c>
      <c r="I20" s="74">
        <v>0</v>
      </c>
    </row>
    <row r="21" spans="2:12" ht="15.75" thickBot="1">
      <c r="B21" s="73" t="s">
        <v>72</v>
      </c>
      <c r="C21" s="74">
        <v>0</v>
      </c>
      <c r="D21" s="74">
        <v>1</v>
      </c>
      <c r="E21" s="74">
        <v>1</v>
      </c>
      <c r="F21" s="74">
        <v>1</v>
      </c>
      <c r="G21" s="74">
        <v>5</v>
      </c>
      <c r="H21" s="74">
        <v>1</v>
      </c>
      <c r="I21" s="74">
        <v>0</v>
      </c>
    </row>
    <row r="22" spans="2:12" ht="15.75" thickBot="1">
      <c r="B22" s="73" t="s">
        <v>73</v>
      </c>
      <c r="C22" s="74">
        <v>1</v>
      </c>
      <c r="D22" s="74">
        <v>1</v>
      </c>
      <c r="E22" s="74">
        <v>1</v>
      </c>
      <c r="F22" s="74">
        <v>1</v>
      </c>
      <c r="G22" s="74">
        <v>1</v>
      </c>
      <c r="H22" s="74">
        <v>5</v>
      </c>
      <c r="I22" s="74">
        <v>0</v>
      </c>
    </row>
    <row r="23" spans="2:12" ht="15.75" thickBot="1">
      <c r="B23" s="73" t="s">
        <v>47</v>
      </c>
      <c r="C23" s="74">
        <v>0</v>
      </c>
      <c r="D23" s="74">
        <v>0</v>
      </c>
      <c r="E23" s="74">
        <v>0</v>
      </c>
      <c r="F23" s="74">
        <v>0</v>
      </c>
      <c r="G23" s="74">
        <v>0</v>
      </c>
      <c r="H23" s="74">
        <v>0</v>
      </c>
      <c r="I23" s="74">
        <v>0</v>
      </c>
    </row>
    <row r="24" spans="2:12" ht="15.75" thickBot="1"/>
    <row r="25" spans="2:12" ht="15.75" thickBot="1">
      <c r="B25" s="237" t="s">
        <v>85</v>
      </c>
      <c r="C25" s="238"/>
      <c r="D25" s="238"/>
      <c r="E25" s="238"/>
      <c r="F25" s="238"/>
      <c r="G25" s="238"/>
      <c r="H25" s="238"/>
      <c r="I25" s="238"/>
      <c r="J25" s="239"/>
    </row>
    <row r="26" spans="2:12" ht="47.25" customHeight="1">
      <c r="B26" s="71" t="s">
        <v>80</v>
      </c>
      <c r="C26" s="71" t="s">
        <v>54</v>
      </c>
      <c r="D26" s="71" t="s">
        <v>74</v>
      </c>
      <c r="E26" s="71" t="s">
        <v>55</v>
      </c>
      <c r="F26" s="71" t="s">
        <v>75</v>
      </c>
      <c r="G26" s="71" t="s">
        <v>76</v>
      </c>
      <c r="H26" s="71" t="s">
        <v>69</v>
      </c>
      <c r="I26" s="71" t="s">
        <v>77</v>
      </c>
      <c r="J26" s="78" t="s">
        <v>47</v>
      </c>
    </row>
    <row r="27" spans="2:12" ht="15.75" customHeight="1" thickBot="1">
      <c r="B27" s="79" t="s">
        <v>83</v>
      </c>
      <c r="C27" s="72"/>
      <c r="D27" s="72"/>
      <c r="E27" s="72"/>
      <c r="F27" s="72"/>
      <c r="G27" s="72"/>
      <c r="H27" s="72"/>
      <c r="I27" s="72"/>
      <c r="J27" s="73"/>
    </row>
    <row r="28" spans="2:12" ht="16.5" thickBot="1">
      <c r="B28" s="85" t="s">
        <v>54</v>
      </c>
      <c r="C28" s="80">
        <v>5</v>
      </c>
      <c r="D28" s="81">
        <v>0</v>
      </c>
      <c r="E28" s="81">
        <v>4</v>
      </c>
      <c r="F28" s="81">
        <v>3</v>
      </c>
      <c r="G28" s="81">
        <v>1</v>
      </c>
      <c r="H28" s="81">
        <v>3</v>
      </c>
      <c r="I28" s="81">
        <v>1</v>
      </c>
      <c r="J28" s="80">
        <v>0</v>
      </c>
    </row>
    <row r="29" spans="2:12" ht="16.5" thickBot="1">
      <c r="B29" s="85" t="s">
        <v>74</v>
      </c>
      <c r="C29" s="81">
        <v>0</v>
      </c>
      <c r="D29" s="80">
        <v>5</v>
      </c>
      <c r="E29" s="81">
        <v>1</v>
      </c>
      <c r="F29" s="81">
        <v>4</v>
      </c>
      <c r="G29" s="81">
        <v>4</v>
      </c>
      <c r="H29" s="81">
        <v>0</v>
      </c>
      <c r="I29" s="81">
        <v>1</v>
      </c>
      <c r="J29" s="80">
        <v>0</v>
      </c>
    </row>
    <row r="30" spans="2:12" ht="16.5" thickBot="1">
      <c r="B30" s="85" t="s">
        <v>55</v>
      </c>
      <c r="C30" s="81">
        <v>4</v>
      </c>
      <c r="D30" s="81">
        <v>1</v>
      </c>
      <c r="E30" s="80">
        <v>5</v>
      </c>
      <c r="F30" s="81">
        <v>4</v>
      </c>
      <c r="G30" s="81">
        <v>3</v>
      </c>
      <c r="H30" s="81">
        <v>0</v>
      </c>
      <c r="I30" s="81">
        <v>1</v>
      </c>
      <c r="J30" s="80">
        <v>0</v>
      </c>
    </row>
    <row r="31" spans="2:12" ht="16.5" thickBot="1">
      <c r="B31" s="85" t="s">
        <v>75</v>
      </c>
      <c r="C31" s="81">
        <v>3</v>
      </c>
      <c r="D31" s="81">
        <v>1</v>
      </c>
      <c r="E31" s="81">
        <v>4</v>
      </c>
      <c r="F31" s="81">
        <v>5</v>
      </c>
      <c r="G31" s="81">
        <v>2</v>
      </c>
      <c r="H31" s="81">
        <v>0</v>
      </c>
      <c r="I31" s="81">
        <v>1</v>
      </c>
      <c r="J31" s="80">
        <v>0</v>
      </c>
    </row>
    <row r="32" spans="2:12" ht="16.5" thickBot="1">
      <c r="B32" s="85" t="s">
        <v>76</v>
      </c>
      <c r="C32" s="81">
        <v>1</v>
      </c>
      <c r="D32" s="81">
        <v>4</v>
      </c>
      <c r="E32" s="81">
        <v>4</v>
      </c>
      <c r="F32" s="81">
        <v>2</v>
      </c>
      <c r="G32" s="80">
        <v>5</v>
      </c>
      <c r="H32" s="81">
        <v>0</v>
      </c>
      <c r="I32" s="81">
        <v>1</v>
      </c>
      <c r="J32" s="80">
        <v>0</v>
      </c>
    </row>
    <row r="33" spans="2:10" ht="16.5" thickBot="1">
      <c r="B33" s="85" t="s">
        <v>69</v>
      </c>
      <c r="C33" s="81">
        <v>4</v>
      </c>
      <c r="D33" s="81">
        <v>0</v>
      </c>
      <c r="E33" s="81">
        <v>0</v>
      </c>
      <c r="F33" s="81">
        <v>0</v>
      </c>
      <c r="G33" s="81">
        <v>0</v>
      </c>
      <c r="H33" s="80">
        <v>5</v>
      </c>
      <c r="I33" s="81">
        <v>1</v>
      </c>
      <c r="J33" s="80">
        <v>0</v>
      </c>
    </row>
    <row r="34" spans="2:10" ht="32.25" thickBot="1">
      <c r="B34" s="86" t="s">
        <v>77</v>
      </c>
      <c r="C34" s="82">
        <v>1</v>
      </c>
      <c r="D34" s="82">
        <v>1</v>
      </c>
      <c r="E34" s="82">
        <v>1</v>
      </c>
      <c r="F34" s="82">
        <v>1</v>
      </c>
      <c r="G34" s="82">
        <v>1</v>
      </c>
      <c r="H34" s="82">
        <v>1</v>
      </c>
      <c r="I34" s="82">
        <v>5</v>
      </c>
      <c r="J34" s="83">
        <v>0</v>
      </c>
    </row>
    <row r="35" spans="2:10" ht="15" customHeight="1" thickBot="1">
      <c r="B35" s="87" t="s">
        <v>84</v>
      </c>
      <c r="C35" s="84">
        <v>0</v>
      </c>
      <c r="D35" s="84">
        <v>0</v>
      </c>
      <c r="E35" s="84">
        <v>0</v>
      </c>
      <c r="F35" s="84">
        <v>0</v>
      </c>
      <c r="G35" s="84">
        <v>0</v>
      </c>
      <c r="H35" s="84">
        <v>0</v>
      </c>
      <c r="I35" s="84">
        <v>0</v>
      </c>
      <c r="J35" s="83">
        <v>0</v>
      </c>
    </row>
    <row r="37" spans="2:10" ht="19.5" thickBot="1">
      <c r="B37" s="96" t="s">
        <v>86</v>
      </c>
      <c r="C37" s="97">
        <f>'Edit This Sheet'!A17/62</f>
        <v>0.58064516129032262</v>
      </c>
      <c r="D37" s="98">
        <f>SUM(D38,D44,D50,D62)</f>
        <v>4</v>
      </c>
    </row>
    <row r="38" spans="2:10" ht="15.75">
      <c r="B38" s="90" t="s">
        <v>87</v>
      </c>
      <c r="C38" s="61">
        <f>IF(C37&lt;0.2,1,0)</f>
        <v>0</v>
      </c>
      <c r="D38">
        <f>C38*INDEX(C40:E42,MATCH('Edit This Sheet'!$B$22,Inputs!C39:E39,0),MATCH('Edit This Sheet'!$D$22,Inputs!B40:B42,0))</f>
        <v>0</v>
      </c>
    </row>
    <row r="39" spans="2:10">
      <c r="B39" s="93" t="s">
        <v>92</v>
      </c>
      <c r="C39" s="94" t="s">
        <v>56</v>
      </c>
      <c r="D39" s="94" t="s">
        <v>46</v>
      </c>
      <c r="E39" s="94" t="s">
        <v>47</v>
      </c>
    </row>
    <row r="40" spans="2:10">
      <c r="B40" s="93" t="s">
        <v>56</v>
      </c>
      <c r="C40" s="95">
        <v>3</v>
      </c>
      <c r="D40" s="95">
        <v>0</v>
      </c>
      <c r="E40" s="95">
        <v>0</v>
      </c>
    </row>
    <row r="41" spans="2:10">
      <c r="B41" s="93" t="s">
        <v>46</v>
      </c>
      <c r="C41" s="95">
        <v>0</v>
      </c>
      <c r="D41" s="95">
        <v>0</v>
      </c>
      <c r="E41" s="95">
        <v>0</v>
      </c>
    </row>
    <row r="42" spans="2:10">
      <c r="B42" s="93" t="s">
        <v>47</v>
      </c>
      <c r="C42" s="95">
        <v>0</v>
      </c>
      <c r="D42" s="95">
        <v>0</v>
      </c>
      <c r="E42" s="95">
        <v>0</v>
      </c>
    </row>
    <row r="44" spans="2:10">
      <c r="B44" s="91" t="s">
        <v>88</v>
      </c>
      <c r="C44">
        <f>IF(AND(C37&gt;=0.2,C37&lt;0.5),1,0)</f>
        <v>0</v>
      </c>
      <c r="D44">
        <f>C44*INDEX(C46:E48,MATCH('Edit This Sheet'!$B$22,Inputs!C45:E45,0),MATCH('Edit This Sheet'!$D$22,Inputs!B46:B48,0))</f>
        <v>0</v>
      </c>
    </row>
    <row r="45" spans="2:10">
      <c r="B45" s="93" t="s">
        <v>92</v>
      </c>
      <c r="C45" s="94" t="s">
        <v>56</v>
      </c>
      <c r="D45" s="94" t="s">
        <v>46</v>
      </c>
      <c r="E45" s="94" t="s">
        <v>47</v>
      </c>
    </row>
    <row r="46" spans="2:10">
      <c r="B46" s="93" t="s">
        <v>56</v>
      </c>
      <c r="C46" s="95">
        <v>3</v>
      </c>
      <c r="D46" s="95">
        <v>0</v>
      </c>
      <c r="E46" s="95">
        <v>0</v>
      </c>
    </row>
    <row r="47" spans="2:10">
      <c r="B47" s="93" t="s">
        <v>46</v>
      </c>
      <c r="C47" s="95">
        <v>1</v>
      </c>
      <c r="D47" s="95">
        <v>0</v>
      </c>
      <c r="E47" s="95">
        <v>0</v>
      </c>
    </row>
    <row r="48" spans="2:10">
      <c r="B48" s="92" t="s">
        <v>47</v>
      </c>
      <c r="C48" s="95">
        <v>0</v>
      </c>
      <c r="D48" s="95">
        <v>0</v>
      </c>
      <c r="E48" s="95">
        <v>0</v>
      </c>
    </row>
    <row r="49" spans="2:5">
      <c r="C49" s="61"/>
      <c r="D49" s="61"/>
    </row>
    <row r="50" spans="2:5">
      <c r="B50" s="91" t="s">
        <v>89</v>
      </c>
      <c r="C50" s="61">
        <f>IF(AND(C37&gt;=0.5,C37&lt;0.8),1,0)</f>
        <v>1</v>
      </c>
      <c r="D50">
        <f>C50*INDEX(C52:E54,MATCH('Edit This Sheet'!$B$22,Inputs!C51:E51,0),MATCH('Edit This Sheet'!$D$22,Inputs!B52:B54,0))</f>
        <v>4</v>
      </c>
    </row>
    <row r="51" spans="2:5">
      <c r="B51" s="93" t="s">
        <v>92</v>
      </c>
      <c r="C51" s="94" t="s">
        <v>56</v>
      </c>
      <c r="D51" s="94" t="s">
        <v>46</v>
      </c>
      <c r="E51" s="94" t="s">
        <v>47</v>
      </c>
    </row>
    <row r="52" spans="2:5">
      <c r="B52" s="93" t="s">
        <v>56</v>
      </c>
      <c r="C52" s="95">
        <v>4</v>
      </c>
      <c r="D52" s="95">
        <v>1</v>
      </c>
      <c r="E52" s="95">
        <v>0</v>
      </c>
    </row>
    <row r="53" spans="2:5">
      <c r="B53" s="93" t="s">
        <v>46</v>
      </c>
      <c r="C53" s="95">
        <v>2</v>
      </c>
      <c r="D53" s="95">
        <v>4</v>
      </c>
      <c r="E53" s="95">
        <v>0</v>
      </c>
    </row>
    <row r="54" spans="2:5">
      <c r="B54" s="93" t="s">
        <v>47</v>
      </c>
      <c r="C54" s="95">
        <v>0</v>
      </c>
      <c r="D54" s="95">
        <v>0</v>
      </c>
      <c r="E54" s="95">
        <v>0</v>
      </c>
    </row>
    <row r="55" spans="2:5">
      <c r="C55" s="61"/>
      <c r="D55" s="61"/>
      <c r="E55" s="99"/>
    </row>
    <row r="56" spans="2:5">
      <c r="B56" s="91" t="s">
        <v>90</v>
      </c>
      <c r="C56" s="61">
        <f>IF(AND(C37&gt;=0.5,C37&lt;0.8),1,0)</f>
        <v>1</v>
      </c>
      <c r="D56">
        <f>C56*INDEX(C58:E60,MATCH('Edit This Sheet'!$B$22,Inputs!C57:E57,0),MATCH('Edit This Sheet'!$D$22,Inputs!B58:B60,0))</f>
        <v>5</v>
      </c>
    </row>
    <row r="57" spans="2:5">
      <c r="B57" s="93" t="s">
        <v>92</v>
      </c>
      <c r="C57" s="94" t="s">
        <v>56</v>
      </c>
      <c r="D57" s="94" t="s">
        <v>46</v>
      </c>
      <c r="E57" s="94" t="s">
        <v>47</v>
      </c>
    </row>
    <row r="58" spans="2:5">
      <c r="B58" s="93" t="s">
        <v>56</v>
      </c>
      <c r="C58" s="95">
        <v>5</v>
      </c>
      <c r="D58" s="95">
        <v>2</v>
      </c>
      <c r="E58" s="95">
        <v>0</v>
      </c>
    </row>
    <row r="59" spans="2:5">
      <c r="B59" s="93" t="s">
        <v>46</v>
      </c>
      <c r="C59" s="95">
        <v>4</v>
      </c>
      <c r="D59" s="95">
        <v>5</v>
      </c>
      <c r="E59" s="95">
        <v>0</v>
      </c>
    </row>
    <row r="60" spans="2:5">
      <c r="B60" s="93" t="s">
        <v>47</v>
      </c>
      <c r="C60" s="95">
        <v>0</v>
      </c>
      <c r="D60" s="95">
        <v>0</v>
      </c>
      <c r="E60" s="95">
        <v>0</v>
      </c>
    </row>
    <row r="61" spans="2:5">
      <c r="C61" s="61"/>
      <c r="D61" s="61"/>
      <c r="E61" s="99"/>
    </row>
    <row r="62" spans="2:5">
      <c r="B62" s="91" t="s">
        <v>91</v>
      </c>
      <c r="C62" s="61">
        <f>IF(C37&gt;0.9,1,0)</f>
        <v>0</v>
      </c>
      <c r="D62">
        <f>C62*INDEX(C64:E66,MATCH('Edit This Sheet'!$B$22,Inputs!C63:E63,0),MATCH('Edit This Sheet'!$D$22,Inputs!B64:B66,0))</f>
        <v>0</v>
      </c>
    </row>
    <row r="63" spans="2:5">
      <c r="B63" s="93" t="s">
        <v>92</v>
      </c>
      <c r="C63" s="94" t="s">
        <v>56</v>
      </c>
      <c r="D63" s="94" t="s">
        <v>46</v>
      </c>
      <c r="E63" s="94" t="s">
        <v>47</v>
      </c>
    </row>
    <row r="64" spans="2:5">
      <c r="B64" s="93" t="s">
        <v>56</v>
      </c>
      <c r="C64" s="95">
        <v>5</v>
      </c>
      <c r="D64" s="95">
        <v>3</v>
      </c>
      <c r="E64" s="95">
        <v>0</v>
      </c>
    </row>
    <row r="65" spans="2:5">
      <c r="B65" s="93" t="s">
        <v>46</v>
      </c>
      <c r="C65" s="95">
        <v>4</v>
      </c>
      <c r="D65" s="95">
        <v>5</v>
      </c>
      <c r="E65" s="95">
        <v>0</v>
      </c>
    </row>
    <row r="66" spans="2:5">
      <c r="B66" s="93" t="s">
        <v>47</v>
      </c>
      <c r="C66" s="95">
        <v>0</v>
      </c>
      <c r="D66" s="95">
        <v>0</v>
      </c>
      <c r="E66" s="95">
        <v>0</v>
      </c>
    </row>
    <row r="68" spans="2:5" ht="19.5" thickBot="1">
      <c r="B68" s="96" t="s">
        <v>101</v>
      </c>
      <c r="C68" s="97">
        <f>'Edit This Sheet'!A48/62</f>
        <v>0</v>
      </c>
      <c r="D68" s="98">
        <f>SUM(D69,D75,D81,D93)</f>
        <v>0</v>
      </c>
    </row>
    <row r="69" spans="2:5" ht="15.75">
      <c r="B69" s="90" t="s">
        <v>87</v>
      </c>
      <c r="C69" s="88">
        <f>IF(C68&lt;0.2,1,0)</f>
        <v>1</v>
      </c>
      <c r="D69" s="88">
        <f>C69*INDEX(C71:E73,MATCH('Edit This Sheet'!$B$19,Inputs!C70:E70,0),MATCH('Edit This Sheet'!$D$19,Inputs!B71:B73,0))</f>
        <v>0</v>
      </c>
    </row>
    <row r="70" spans="2:5">
      <c r="B70" s="93" t="s">
        <v>92</v>
      </c>
      <c r="C70" s="94" t="s">
        <v>56</v>
      </c>
      <c r="D70" s="94" t="s">
        <v>46</v>
      </c>
      <c r="E70" s="94" t="s">
        <v>47</v>
      </c>
    </row>
    <row r="71" spans="2:5">
      <c r="B71" s="93" t="s">
        <v>56</v>
      </c>
      <c r="C71" s="95">
        <v>2</v>
      </c>
      <c r="D71" s="95">
        <v>0</v>
      </c>
      <c r="E71" s="95">
        <v>0</v>
      </c>
    </row>
    <row r="72" spans="2:5">
      <c r="B72" s="93" t="s">
        <v>46</v>
      </c>
      <c r="C72" s="95">
        <v>0</v>
      </c>
      <c r="D72" s="95">
        <v>0</v>
      </c>
      <c r="E72" s="95">
        <v>0</v>
      </c>
    </row>
    <row r="73" spans="2:5">
      <c r="B73" s="93" t="s">
        <v>47</v>
      </c>
      <c r="C73" s="95">
        <v>0</v>
      </c>
      <c r="D73" s="95">
        <v>0</v>
      </c>
      <c r="E73" s="95">
        <v>0</v>
      </c>
    </row>
    <row r="75" spans="2:5">
      <c r="B75" s="91" t="s">
        <v>88</v>
      </c>
      <c r="C75" s="88">
        <f>IF(AND(C68&gt;=0.2,C68&lt;0.5),1,0)</f>
        <v>0</v>
      </c>
      <c r="D75" s="88">
        <f>C75*INDEX(C77:E79,MATCH('Edit This Sheet'!$B$19,Inputs!C76:E76,0),MATCH('Edit This Sheet'!$D$19,Inputs!B77:B79,0))</f>
        <v>0</v>
      </c>
    </row>
    <row r="76" spans="2:5">
      <c r="B76" s="93" t="s">
        <v>92</v>
      </c>
      <c r="C76" s="94" t="s">
        <v>56</v>
      </c>
      <c r="D76" s="94" t="s">
        <v>46</v>
      </c>
      <c r="E76" s="94" t="s">
        <v>47</v>
      </c>
    </row>
    <row r="77" spans="2:5">
      <c r="B77" s="93" t="s">
        <v>56</v>
      </c>
      <c r="C77" s="95">
        <v>3</v>
      </c>
      <c r="D77" s="95">
        <v>0</v>
      </c>
      <c r="E77" s="95">
        <v>0</v>
      </c>
    </row>
    <row r="78" spans="2:5">
      <c r="B78" s="93" t="s">
        <v>46</v>
      </c>
      <c r="C78" s="95">
        <v>1</v>
      </c>
      <c r="D78" s="95">
        <v>1</v>
      </c>
      <c r="E78" s="95">
        <v>0</v>
      </c>
    </row>
    <row r="79" spans="2:5">
      <c r="B79" s="92" t="s">
        <v>47</v>
      </c>
      <c r="C79" s="95">
        <v>0</v>
      </c>
      <c r="D79" s="95">
        <v>0</v>
      </c>
      <c r="E79" s="95">
        <v>0</v>
      </c>
    </row>
    <row r="80" spans="2:5">
      <c r="C80" s="88"/>
      <c r="D80" s="88"/>
    </row>
    <row r="81" spans="2:5">
      <c r="B81" s="91" t="s">
        <v>89</v>
      </c>
      <c r="C81" s="88">
        <f>IF(AND(C68&gt;=0.5,C68&lt;0.8),1,0)</f>
        <v>0</v>
      </c>
      <c r="D81" s="88">
        <f>C81*INDEX(C83:E85,MATCH('Edit This Sheet'!$B$19,Inputs!C82:E82,0),MATCH('Edit This Sheet'!$D$19,Inputs!B83:B85,0))</f>
        <v>0</v>
      </c>
    </row>
    <row r="82" spans="2:5">
      <c r="B82" s="93" t="s">
        <v>92</v>
      </c>
      <c r="C82" s="94" t="s">
        <v>56</v>
      </c>
      <c r="D82" s="94" t="s">
        <v>46</v>
      </c>
      <c r="E82" s="94" t="s">
        <v>47</v>
      </c>
    </row>
    <row r="83" spans="2:5">
      <c r="B83" s="93" t="s">
        <v>56</v>
      </c>
      <c r="C83" s="95">
        <v>4</v>
      </c>
      <c r="D83" s="95">
        <v>1</v>
      </c>
      <c r="E83" s="95">
        <v>0</v>
      </c>
    </row>
    <row r="84" spans="2:5">
      <c r="B84" s="93" t="s">
        <v>46</v>
      </c>
      <c r="C84" s="95">
        <v>2</v>
      </c>
      <c r="D84" s="95">
        <v>3</v>
      </c>
      <c r="E84" s="95">
        <v>0</v>
      </c>
    </row>
    <row r="85" spans="2:5">
      <c r="B85" s="93" t="s">
        <v>47</v>
      </c>
      <c r="C85" s="95">
        <v>0</v>
      </c>
      <c r="D85" s="95">
        <v>0</v>
      </c>
      <c r="E85" s="95">
        <v>0</v>
      </c>
    </row>
    <row r="86" spans="2:5">
      <c r="C86" s="88"/>
      <c r="D86" s="88"/>
      <c r="E86" s="99"/>
    </row>
    <row r="87" spans="2:5">
      <c r="B87" s="91" t="s">
        <v>90</v>
      </c>
      <c r="C87" s="88">
        <f>IF(AND(C68&gt;=0.5,C68&lt;0.8),1,0)</f>
        <v>0</v>
      </c>
      <c r="D87" s="88">
        <f>C87*INDEX(C89:E91,MATCH('Edit This Sheet'!$B$19,Inputs!C88:E88,0),MATCH('Edit This Sheet'!$D$19,Inputs!B89:B91,0))</f>
        <v>0</v>
      </c>
    </row>
    <row r="88" spans="2:5">
      <c r="B88" s="93" t="s">
        <v>92</v>
      </c>
      <c r="C88" s="94" t="s">
        <v>56</v>
      </c>
      <c r="D88" s="94" t="s">
        <v>46</v>
      </c>
      <c r="E88" s="94" t="s">
        <v>47</v>
      </c>
    </row>
    <row r="89" spans="2:5">
      <c r="B89" s="93" t="s">
        <v>56</v>
      </c>
      <c r="C89" s="95">
        <v>5</v>
      </c>
      <c r="D89" s="95">
        <v>2</v>
      </c>
      <c r="E89" s="95">
        <v>0</v>
      </c>
    </row>
    <row r="90" spans="2:5">
      <c r="B90" s="93" t="s">
        <v>46</v>
      </c>
      <c r="C90" s="95">
        <v>3</v>
      </c>
      <c r="D90" s="95">
        <v>5</v>
      </c>
      <c r="E90" s="95">
        <v>0</v>
      </c>
    </row>
    <row r="91" spans="2:5">
      <c r="B91" s="93" t="s">
        <v>47</v>
      </c>
      <c r="C91" s="95">
        <v>0</v>
      </c>
      <c r="D91" s="95">
        <v>0</v>
      </c>
      <c r="E91" s="95">
        <v>0</v>
      </c>
    </row>
    <row r="92" spans="2:5">
      <c r="C92" s="88"/>
      <c r="D92" s="88"/>
      <c r="E92" s="99"/>
    </row>
    <row r="93" spans="2:5">
      <c r="B93" s="91" t="s">
        <v>91</v>
      </c>
      <c r="C93" s="88">
        <f>IF(C68&gt;0.9,1,0)</f>
        <v>0</v>
      </c>
      <c r="D93" s="88">
        <f>C93*INDEX(C95:E97,MATCH('Edit This Sheet'!$B$19,Inputs!C94:E94,0),MATCH('Edit This Sheet'!$D$19,Inputs!B95:B97,0))</f>
        <v>0</v>
      </c>
    </row>
    <row r="94" spans="2:5">
      <c r="B94" s="93" t="s">
        <v>92</v>
      </c>
      <c r="C94" s="94" t="s">
        <v>56</v>
      </c>
      <c r="D94" s="94" t="s">
        <v>46</v>
      </c>
      <c r="E94" s="94" t="s">
        <v>47</v>
      </c>
    </row>
    <row r="95" spans="2:5">
      <c r="B95" s="93" t="s">
        <v>56</v>
      </c>
      <c r="C95" s="95">
        <v>5</v>
      </c>
      <c r="D95" s="95">
        <v>3</v>
      </c>
      <c r="E95" s="95">
        <v>0</v>
      </c>
    </row>
    <row r="96" spans="2:5">
      <c r="B96" s="93" t="s">
        <v>46</v>
      </c>
      <c r="C96" s="95">
        <v>3</v>
      </c>
      <c r="D96" s="95">
        <v>5</v>
      </c>
      <c r="E96" s="95">
        <v>0</v>
      </c>
    </row>
    <row r="97" spans="2:5">
      <c r="B97" s="93" t="s">
        <v>47</v>
      </c>
      <c r="C97" s="95">
        <v>0</v>
      </c>
      <c r="D97" s="95">
        <v>0</v>
      </c>
      <c r="E97" s="95">
        <v>0</v>
      </c>
    </row>
    <row r="100" spans="2:5" ht="19.5" thickBot="1">
      <c r="B100" s="96" t="s">
        <v>102</v>
      </c>
      <c r="C100" s="97">
        <f>'Edit This Sheet'!A80/62</f>
        <v>0</v>
      </c>
      <c r="D100" s="98">
        <f>SUM(D101,D107,D113,D125)</f>
        <v>0</v>
      </c>
    </row>
    <row r="101" spans="2:5" ht="15.75">
      <c r="B101" s="90" t="s">
        <v>87</v>
      </c>
      <c r="C101" s="88">
        <f>IF(C100&lt;0.2,1,0)</f>
        <v>1</v>
      </c>
      <c r="D101" s="88">
        <f>C101*INDEX(C103:E105,MATCH('Edit This Sheet'!$B$20,Inputs!C102:E102,0),MATCH('Edit This Sheet'!$D$20,Inputs!B103:B105,0))</f>
        <v>0</v>
      </c>
    </row>
    <row r="102" spans="2:5">
      <c r="B102" s="93" t="s">
        <v>92</v>
      </c>
      <c r="C102" s="94" t="s">
        <v>56</v>
      </c>
      <c r="D102" s="94" t="s">
        <v>46</v>
      </c>
      <c r="E102" s="94" t="s">
        <v>47</v>
      </c>
    </row>
    <row r="103" spans="2:5">
      <c r="B103" s="93" t="s">
        <v>56</v>
      </c>
      <c r="C103" s="95">
        <v>2</v>
      </c>
      <c r="D103" s="95">
        <v>0</v>
      </c>
      <c r="E103" s="95">
        <v>0</v>
      </c>
    </row>
    <row r="104" spans="2:5">
      <c r="B104" s="93" t="s">
        <v>46</v>
      </c>
      <c r="C104" s="95">
        <v>0</v>
      </c>
      <c r="D104" s="95">
        <v>0</v>
      </c>
      <c r="E104" s="95">
        <v>0</v>
      </c>
    </row>
    <row r="105" spans="2:5">
      <c r="B105" s="93" t="s">
        <v>47</v>
      </c>
      <c r="C105" s="95">
        <v>0</v>
      </c>
      <c r="D105" s="95">
        <v>0</v>
      </c>
      <c r="E105" s="95">
        <v>0</v>
      </c>
    </row>
    <row r="107" spans="2:5">
      <c r="B107" s="91" t="s">
        <v>88</v>
      </c>
      <c r="C107" s="88">
        <f>IF(AND(C100&gt;=0.2,C100&lt;0.5),1,0)</f>
        <v>0</v>
      </c>
      <c r="D107" s="88">
        <f>C107*INDEX(C109:E111,MATCH('Edit This Sheet'!$B$20,Inputs!C108:E108,0),MATCH('Edit This Sheet'!$D$20,Inputs!B109:B111,0))</f>
        <v>0</v>
      </c>
    </row>
    <row r="108" spans="2:5">
      <c r="B108" s="93" t="s">
        <v>92</v>
      </c>
      <c r="C108" s="94" t="s">
        <v>56</v>
      </c>
      <c r="D108" s="94" t="s">
        <v>46</v>
      </c>
      <c r="E108" s="94" t="s">
        <v>47</v>
      </c>
    </row>
    <row r="109" spans="2:5">
      <c r="B109" s="93" t="s">
        <v>56</v>
      </c>
      <c r="C109" s="95">
        <v>3</v>
      </c>
      <c r="D109" s="95">
        <v>0</v>
      </c>
      <c r="E109" s="95">
        <v>0</v>
      </c>
    </row>
    <row r="110" spans="2:5">
      <c r="B110" s="93" t="s">
        <v>46</v>
      </c>
      <c r="C110" s="95">
        <v>1</v>
      </c>
      <c r="D110" s="95">
        <v>1</v>
      </c>
      <c r="E110" s="95">
        <v>0</v>
      </c>
    </row>
    <row r="111" spans="2:5">
      <c r="B111" s="92" t="s">
        <v>47</v>
      </c>
      <c r="C111" s="95">
        <v>0</v>
      </c>
      <c r="D111" s="95">
        <v>0</v>
      </c>
      <c r="E111" s="95">
        <v>0</v>
      </c>
    </row>
    <row r="112" spans="2:5">
      <c r="C112" s="88"/>
      <c r="D112" s="88"/>
    </row>
    <row r="113" spans="2:5">
      <c r="B113" s="91" t="s">
        <v>89</v>
      </c>
      <c r="C113" s="88">
        <f>IF(AND(C100&gt;=0.5,C100&lt;0.8),1,0)</f>
        <v>0</v>
      </c>
      <c r="D113" s="88">
        <f>C113*INDEX(C115:E117,MATCH('Edit This Sheet'!$B$20,Inputs!C114:E114,0),MATCH('Edit This Sheet'!$D$20,Inputs!B115:B117,0))</f>
        <v>0</v>
      </c>
    </row>
    <row r="114" spans="2:5">
      <c r="B114" s="93" t="s">
        <v>92</v>
      </c>
      <c r="C114" s="94" t="s">
        <v>56</v>
      </c>
      <c r="D114" s="94" t="s">
        <v>46</v>
      </c>
      <c r="E114" s="94" t="s">
        <v>47</v>
      </c>
    </row>
    <row r="115" spans="2:5">
      <c r="B115" s="93" t="s">
        <v>56</v>
      </c>
      <c r="C115" s="95">
        <v>4</v>
      </c>
      <c r="D115" s="95">
        <v>1</v>
      </c>
      <c r="E115" s="95">
        <v>0</v>
      </c>
    </row>
    <row r="116" spans="2:5">
      <c r="B116" s="93" t="s">
        <v>46</v>
      </c>
      <c r="C116" s="95">
        <v>2</v>
      </c>
      <c r="D116" s="95">
        <v>3</v>
      </c>
      <c r="E116" s="95">
        <v>0</v>
      </c>
    </row>
    <row r="117" spans="2:5">
      <c r="B117" s="93" t="s">
        <v>47</v>
      </c>
      <c r="C117" s="95">
        <v>0</v>
      </c>
      <c r="D117" s="95">
        <v>0</v>
      </c>
      <c r="E117" s="95">
        <v>0</v>
      </c>
    </row>
    <row r="118" spans="2:5">
      <c r="C118" s="88"/>
      <c r="D118" s="88"/>
      <c r="E118" s="99"/>
    </row>
    <row r="119" spans="2:5">
      <c r="B119" s="91" t="s">
        <v>90</v>
      </c>
      <c r="C119" s="88">
        <f>IF(AND(C100&gt;=0.5,C100&lt;0.8),1,0)</f>
        <v>0</v>
      </c>
      <c r="D119" s="88">
        <f>C119*INDEX(C121:E123,MATCH('Edit This Sheet'!$B$20,Inputs!C120:E120,0),MATCH('Edit This Sheet'!$D$20,Inputs!B121:B123,0))</f>
        <v>0</v>
      </c>
    </row>
    <row r="120" spans="2:5">
      <c r="B120" s="93" t="s">
        <v>92</v>
      </c>
      <c r="C120" s="94" t="s">
        <v>56</v>
      </c>
      <c r="D120" s="94" t="s">
        <v>46</v>
      </c>
      <c r="E120" s="94" t="s">
        <v>47</v>
      </c>
    </row>
    <row r="121" spans="2:5">
      <c r="B121" s="93" t="s">
        <v>56</v>
      </c>
      <c r="C121" s="95">
        <v>5</v>
      </c>
      <c r="D121" s="95">
        <v>2</v>
      </c>
      <c r="E121" s="95">
        <v>0</v>
      </c>
    </row>
    <row r="122" spans="2:5">
      <c r="B122" s="93" t="s">
        <v>46</v>
      </c>
      <c r="C122" s="95">
        <v>3</v>
      </c>
      <c r="D122" s="95">
        <v>5</v>
      </c>
      <c r="E122" s="95">
        <v>0</v>
      </c>
    </row>
    <row r="123" spans="2:5">
      <c r="B123" s="93" t="s">
        <v>47</v>
      </c>
      <c r="C123" s="95">
        <v>0</v>
      </c>
      <c r="D123" s="95">
        <v>0</v>
      </c>
      <c r="E123" s="95">
        <v>0</v>
      </c>
    </row>
    <row r="124" spans="2:5">
      <c r="C124" s="88"/>
      <c r="D124" s="88"/>
      <c r="E124" s="99"/>
    </row>
    <row r="125" spans="2:5">
      <c r="B125" s="91" t="s">
        <v>91</v>
      </c>
      <c r="C125" s="88">
        <f>IF(C100&gt;0.9,1,0)</f>
        <v>0</v>
      </c>
      <c r="D125" s="88">
        <f>C125*INDEX(C127:E129,MATCH('Edit This Sheet'!$B$20,Inputs!C126:E126,0),MATCH('Edit This Sheet'!$D$20,Inputs!B127:B129,0))</f>
        <v>0</v>
      </c>
    </row>
    <row r="126" spans="2:5">
      <c r="B126" s="93" t="s">
        <v>92</v>
      </c>
      <c r="C126" s="94" t="s">
        <v>56</v>
      </c>
      <c r="D126" s="94" t="s">
        <v>46</v>
      </c>
      <c r="E126" s="94" t="s">
        <v>47</v>
      </c>
    </row>
    <row r="127" spans="2:5">
      <c r="B127" s="93" t="s">
        <v>56</v>
      </c>
      <c r="C127" s="95">
        <v>5</v>
      </c>
      <c r="D127" s="95">
        <v>3</v>
      </c>
      <c r="E127" s="95">
        <v>0</v>
      </c>
    </row>
    <row r="128" spans="2:5">
      <c r="B128" s="93" t="s">
        <v>46</v>
      </c>
      <c r="C128" s="95">
        <v>3</v>
      </c>
      <c r="D128" s="95">
        <v>5</v>
      </c>
      <c r="E128" s="95">
        <v>0</v>
      </c>
    </row>
    <row r="129" spans="2:5">
      <c r="B129" s="93" t="s">
        <v>47</v>
      </c>
      <c r="C129" s="95">
        <v>0</v>
      </c>
      <c r="D129" s="95">
        <v>0</v>
      </c>
      <c r="E129" s="95">
        <v>0</v>
      </c>
    </row>
    <row r="132" spans="2:5" ht="19.5" thickBot="1">
      <c r="B132" s="96" t="s">
        <v>103</v>
      </c>
      <c r="C132" s="97">
        <f>'Edit This Sheet'!A112/62</f>
        <v>0</v>
      </c>
      <c r="D132" s="98">
        <f>SUM(D133,D139,D145,D157)</f>
        <v>0</v>
      </c>
    </row>
    <row r="133" spans="2:5" ht="15.75">
      <c r="B133" s="90" t="s">
        <v>87</v>
      </c>
      <c r="C133" s="88">
        <f>IF(C132&lt;0.2,1,0)</f>
        <v>1</v>
      </c>
      <c r="D133" s="88">
        <f>C133*INDEX(C135:E137,MATCH('Edit This Sheet'!$B$21,Inputs!C134:E134,0),MATCH('Edit This Sheet'!$D$21,Inputs!B135:B137,0))</f>
        <v>0</v>
      </c>
    </row>
    <row r="134" spans="2:5">
      <c r="B134" s="93" t="s">
        <v>92</v>
      </c>
      <c r="C134" s="94" t="s">
        <v>56</v>
      </c>
      <c r="D134" s="94" t="s">
        <v>46</v>
      </c>
      <c r="E134" s="94" t="s">
        <v>47</v>
      </c>
    </row>
    <row r="135" spans="2:5">
      <c r="B135" s="93" t="s">
        <v>56</v>
      </c>
      <c r="C135" s="95">
        <v>2</v>
      </c>
      <c r="D135" s="95">
        <v>0</v>
      </c>
      <c r="E135" s="95">
        <v>0</v>
      </c>
    </row>
    <row r="136" spans="2:5">
      <c r="B136" s="93" t="s">
        <v>46</v>
      </c>
      <c r="C136" s="95">
        <v>0</v>
      </c>
      <c r="D136" s="95">
        <v>0</v>
      </c>
      <c r="E136" s="95">
        <v>0</v>
      </c>
    </row>
    <row r="137" spans="2:5">
      <c r="B137" s="93" t="s">
        <v>47</v>
      </c>
      <c r="C137" s="95">
        <v>0</v>
      </c>
      <c r="D137" s="95">
        <v>0</v>
      </c>
      <c r="E137" s="95">
        <v>0</v>
      </c>
    </row>
    <row r="139" spans="2:5">
      <c r="B139" s="91" t="s">
        <v>88</v>
      </c>
      <c r="C139" s="88">
        <f>IF(AND(C132&gt;=0.2,C132&lt;0.5),1,0)</f>
        <v>0</v>
      </c>
      <c r="D139" s="88">
        <f>C139*INDEX(C141:E143,MATCH('Edit This Sheet'!$B$21,Inputs!C140:E140,0),MATCH('Edit This Sheet'!$D$21,Inputs!B141:B143,0))</f>
        <v>0</v>
      </c>
    </row>
    <row r="140" spans="2:5">
      <c r="B140" s="93" t="s">
        <v>92</v>
      </c>
      <c r="C140" s="94" t="s">
        <v>56</v>
      </c>
      <c r="D140" s="94" t="s">
        <v>46</v>
      </c>
      <c r="E140" s="94" t="s">
        <v>47</v>
      </c>
    </row>
    <row r="141" spans="2:5">
      <c r="B141" s="93" t="s">
        <v>56</v>
      </c>
      <c r="C141" s="95">
        <v>3</v>
      </c>
      <c r="D141" s="95">
        <v>0</v>
      </c>
      <c r="E141" s="95">
        <v>0</v>
      </c>
    </row>
    <row r="142" spans="2:5">
      <c r="B142" s="93" t="s">
        <v>46</v>
      </c>
      <c r="C142" s="95">
        <v>1</v>
      </c>
      <c r="D142" s="95">
        <v>1</v>
      </c>
      <c r="E142" s="95">
        <v>0</v>
      </c>
    </row>
    <row r="143" spans="2:5">
      <c r="B143" s="92" t="s">
        <v>47</v>
      </c>
      <c r="C143" s="95">
        <v>0</v>
      </c>
      <c r="D143" s="95">
        <v>0</v>
      </c>
      <c r="E143" s="95">
        <v>0</v>
      </c>
    </row>
    <row r="144" spans="2:5">
      <c r="C144" s="88"/>
      <c r="D144" s="88"/>
    </row>
    <row r="145" spans="2:5">
      <c r="B145" s="91" t="s">
        <v>89</v>
      </c>
      <c r="C145" s="88">
        <f>IF(AND(C132&gt;=0.5,C132&lt;0.8),1,0)</f>
        <v>0</v>
      </c>
      <c r="D145" s="88">
        <f>C145*INDEX(C147:E149,MATCH('Edit This Sheet'!$B$21,Inputs!C146:E146,0),MATCH('Edit This Sheet'!$D$21,Inputs!B147:B149,0))</f>
        <v>0</v>
      </c>
    </row>
    <row r="146" spans="2:5">
      <c r="B146" s="93" t="s">
        <v>92</v>
      </c>
      <c r="C146" s="94" t="s">
        <v>56</v>
      </c>
      <c r="D146" s="94" t="s">
        <v>46</v>
      </c>
      <c r="E146" s="94" t="s">
        <v>47</v>
      </c>
    </row>
    <row r="147" spans="2:5">
      <c r="B147" s="93" t="s">
        <v>56</v>
      </c>
      <c r="C147" s="95">
        <v>4</v>
      </c>
      <c r="D147" s="95">
        <v>1</v>
      </c>
      <c r="E147" s="95">
        <v>0</v>
      </c>
    </row>
    <row r="148" spans="2:5">
      <c r="B148" s="93" t="s">
        <v>46</v>
      </c>
      <c r="C148" s="95">
        <v>2</v>
      </c>
      <c r="D148" s="95">
        <v>3</v>
      </c>
      <c r="E148" s="95">
        <v>0</v>
      </c>
    </row>
    <row r="149" spans="2:5">
      <c r="B149" s="93" t="s">
        <v>47</v>
      </c>
      <c r="C149" s="95">
        <v>0</v>
      </c>
      <c r="D149" s="95">
        <v>0</v>
      </c>
      <c r="E149" s="95">
        <v>0</v>
      </c>
    </row>
    <row r="150" spans="2:5">
      <c r="C150" s="88"/>
      <c r="D150" s="88"/>
      <c r="E150" s="99"/>
    </row>
    <row r="151" spans="2:5">
      <c r="B151" s="91" t="s">
        <v>90</v>
      </c>
      <c r="C151" s="88">
        <f>IF(AND(C132&gt;=0.5,C132&lt;0.8),1,0)</f>
        <v>0</v>
      </c>
      <c r="D151" s="88">
        <f>C151*INDEX(C153:E155,MATCH('Edit This Sheet'!$B$21,Inputs!C152:E152,0),MATCH('Edit This Sheet'!$D$21,Inputs!B153:B155,0))</f>
        <v>0</v>
      </c>
    </row>
    <row r="152" spans="2:5">
      <c r="B152" s="93" t="s">
        <v>92</v>
      </c>
      <c r="C152" s="94" t="s">
        <v>56</v>
      </c>
      <c r="D152" s="94" t="s">
        <v>46</v>
      </c>
      <c r="E152" s="94" t="s">
        <v>47</v>
      </c>
    </row>
    <row r="153" spans="2:5">
      <c r="B153" s="93" t="s">
        <v>56</v>
      </c>
      <c r="C153" s="95">
        <v>5</v>
      </c>
      <c r="D153" s="95">
        <v>2</v>
      </c>
      <c r="E153" s="95">
        <v>0</v>
      </c>
    </row>
    <row r="154" spans="2:5">
      <c r="B154" s="93" t="s">
        <v>46</v>
      </c>
      <c r="C154" s="95">
        <v>3</v>
      </c>
      <c r="D154" s="95">
        <v>5</v>
      </c>
      <c r="E154" s="95">
        <v>0</v>
      </c>
    </row>
    <row r="155" spans="2:5">
      <c r="B155" s="93" t="s">
        <v>47</v>
      </c>
      <c r="C155" s="95">
        <v>0</v>
      </c>
      <c r="D155" s="95">
        <v>0</v>
      </c>
      <c r="E155" s="95">
        <v>0</v>
      </c>
    </row>
    <row r="156" spans="2:5">
      <c r="C156" s="88"/>
      <c r="D156" s="88"/>
      <c r="E156" s="99"/>
    </row>
    <row r="157" spans="2:5">
      <c r="B157" s="91" t="s">
        <v>91</v>
      </c>
      <c r="C157" s="88">
        <f>IF(C132&gt;0.9,1,0)</f>
        <v>0</v>
      </c>
      <c r="D157" s="88">
        <f>C157*INDEX(C159:E161,MATCH('Edit This Sheet'!$B$21,Inputs!C158:E158,0),MATCH('Edit This Sheet'!$D$21,Inputs!B159:B161,0))</f>
        <v>0</v>
      </c>
    </row>
    <row r="158" spans="2:5">
      <c r="B158" s="93" t="s">
        <v>92</v>
      </c>
      <c r="C158" s="94" t="s">
        <v>56</v>
      </c>
      <c r="D158" s="94" t="s">
        <v>46</v>
      </c>
      <c r="E158" s="94" t="s">
        <v>47</v>
      </c>
    </row>
    <row r="159" spans="2:5">
      <c r="B159" s="93" t="s">
        <v>56</v>
      </c>
      <c r="C159" s="95">
        <v>5</v>
      </c>
      <c r="D159" s="95">
        <v>3</v>
      </c>
      <c r="E159" s="95">
        <v>0</v>
      </c>
    </row>
    <row r="160" spans="2:5">
      <c r="B160" s="93" t="s">
        <v>46</v>
      </c>
      <c r="C160" s="95">
        <v>3</v>
      </c>
      <c r="D160" s="95">
        <v>5</v>
      </c>
      <c r="E160" s="95">
        <v>0</v>
      </c>
    </row>
    <row r="161" spans="2:5">
      <c r="B161" s="93" t="s">
        <v>47</v>
      </c>
      <c r="C161" s="95">
        <v>0</v>
      </c>
      <c r="D161" s="95">
        <v>0</v>
      </c>
      <c r="E161" s="95">
        <v>0</v>
      </c>
    </row>
    <row r="164" spans="2:5" ht="19.5" thickBot="1">
      <c r="B164" s="96" t="s">
        <v>104</v>
      </c>
      <c r="C164" s="97">
        <f>'Edit This Sheet'!A144/62</f>
        <v>0</v>
      </c>
      <c r="D164" s="98">
        <f>SUM(D165,D171,D177,D189)</f>
        <v>0</v>
      </c>
    </row>
    <row r="165" spans="2:5" ht="15.75">
      <c r="B165" s="90" t="s">
        <v>87</v>
      </c>
      <c r="C165" s="88">
        <f>IF(C164&lt;0.2,1,0)</f>
        <v>1</v>
      </c>
      <c r="D165" s="88">
        <f>C165*INDEX(C167:E169,MATCH('Edit This Sheet'!$B$25,Inputs!C166:E166,0),MATCH('Edit This Sheet'!$D$25,Inputs!B167:B169,0))</f>
        <v>0</v>
      </c>
    </row>
    <row r="166" spans="2:5">
      <c r="B166" s="93" t="s">
        <v>92</v>
      </c>
      <c r="C166" s="94" t="s">
        <v>56</v>
      </c>
      <c r="D166" s="94" t="s">
        <v>46</v>
      </c>
      <c r="E166" s="94" t="s">
        <v>47</v>
      </c>
    </row>
    <row r="167" spans="2:5">
      <c r="B167" s="93" t="s">
        <v>56</v>
      </c>
      <c r="C167" s="95">
        <v>2</v>
      </c>
      <c r="D167" s="95">
        <v>0</v>
      </c>
      <c r="E167" s="95">
        <v>0</v>
      </c>
    </row>
    <row r="168" spans="2:5">
      <c r="B168" s="93" t="s">
        <v>46</v>
      </c>
      <c r="C168" s="95">
        <v>0</v>
      </c>
      <c r="D168" s="95">
        <v>0</v>
      </c>
      <c r="E168" s="95">
        <v>0</v>
      </c>
    </row>
    <row r="169" spans="2:5">
      <c r="B169" s="93" t="s">
        <v>47</v>
      </c>
      <c r="C169" s="95">
        <v>0</v>
      </c>
      <c r="D169" s="95">
        <v>0</v>
      </c>
      <c r="E169" s="95">
        <v>0</v>
      </c>
    </row>
    <row r="171" spans="2:5">
      <c r="B171" s="91" t="s">
        <v>88</v>
      </c>
      <c r="C171" s="88">
        <f>IF(AND(C164&gt;=0.2,C164&lt;0.5),1,0)</f>
        <v>0</v>
      </c>
      <c r="D171" s="88">
        <f>C171*INDEX(C173:E175,MATCH('Edit This Sheet'!$B$25,Inputs!C172:E172,0),MATCH('Edit This Sheet'!$D$25,Inputs!B173:B175,0))</f>
        <v>0</v>
      </c>
    </row>
    <row r="172" spans="2:5">
      <c r="B172" s="93" t="s">
        <v>92</v>
      </c>
      <c r="C172" s="94" t="s">
        <v>56</v>
      </c>
      <c r="D172" s="94" t="s">
        <v>46</v>
      </c>
      <c r="E172" s="94" t="s">
        <v>47</v>
      </c>
    </row>
    <row r="173" spans="2:5">
      <c r="B173" s="93" t="s">
        <v>56</v>
      </c>
      <c r="C173" s="95">
        <v>3</v>
      </c>
      <c r="D173" s="95">
        <v>0</v>
      </c>
      <c r="E173" s="95">
        <v>0</v>
      </c>
    </row>
    <row r="174" spans="2:5">
      <c r="B174" s="93" t="s">
        <v>46</v>
      </c>
      <c r="C174" s="95">
        <v>1</v>
      </c>
      <c r="D174" s="95">
        <v>1</v>
      </c>
      <c r="E174" s="95">
        <v>0</v>
      </c>
    </row>
    <row r="175" spans="2:5">
      <c r="B175" s="92" t="s">
        <v>47</v>
      </c>
      <c r="C175" s="95">
        <v>0</v>
      </c>
      <c r="D175" s="95">
        <v>0</v>
      </c>
      <c r="E175" s="95">
        <v>0</v>
      </c>
    </row>
    <row r="176" spans="2:5">
      <c r="C176" s="88"/>
      <c r="D176" s="88"/>
    </row>
    <row r="177" spans="2:5">
      <c r="B177" s="91" t="s">
        <v>89</v>
      </c>
      <c r="C177" s="88">
        <f>IF(AND(C164&gt;=0.5,C164&lt;0.8),1,0)</f>
        <v>0</v>
      </c>
      <c r="D177" s="88">
        <f>C177*INDEX(C179:E181,MATCH('Edit This Sheet'!$B$25,Inputs!C178:E178,0),MATCH('Edit This Sheet'!$D$25,Inputs!B179:B181,0))</f>
        <v>0</v>
      </c>
    </row>
    <row r="178" spans="2:5">
      <c r="B178" s="93" t="s">
        <v>92</v>
      </c>
      <c r="C178" s="94" t="s">
        <v>56</v>
      </c>
      <c r="D178" s="94" t="s">
        <v>46</v>
      </c>
      <c r="E178" s="94" t="s">
        <v>47</v>
      </c>
    </row>
    <row r="179" spans="2:5">
      <c r="B179" s="93" t="s">
        <v>56</v>
      </c>
      <c r="C179" s="95">
        <v>4</v>
      </c>
      <c r="D179" s="95">
        <v>1</v>
      </c>
      <c r="E179" s="95">
        <v>0</v>
      </c>
    </row>
    <row r="180" spans="2:5">
      <c r="B180" s="93" t="s">
        <v>46</v>
      </c>
      <c r="C180" s="95">
        <v>2</v>
      </c>
      <c r="D180" s="95">
        <v>3</v>
      </c>
      <c r="E180" s="95">
        <v>0</v>
      </c>
    </row>
    <row r="181" spans="2:5">
      <c r="B181" s="93" t="s">
        <v>47</v>
      </c>
      <c r="C181" s="95">
        <v>0</v>
      </c>
      <c r="D181" s="95">
        <v>0</v>
      </c>
      <c r="E181" s="95">
        <v>0</v>
      </c>
    </row>
    <row r="182" spans="2:5">
      <c r="C182" s="88"/>
      <c r="D182" s="88"/>
      <c r="E182" s="99"/>
    </row>
    <row r="183" spans="2:5">
      <c r="B183" s="91" t="s">
        <v>90</v>
      </c>
      <c r="C183" s="88">
        <f>IF(AND(C164&gt;=0.5,C164&lt;0.8),1,0)</f>
        <v>0</v>
      </c>
      <c r="D183" s="88">
        <f>C183*INDEX(C185:E187,MATCH('Edit This Sheet'!$B$25,Inputs!C184:E184,0),MATCH('Edit This Sheet'!$D$25,Inputs!B185:B187,0))</f>
        <v>0</v>
      </c>
    </row>
    <row r="184" spans="2:5">
      <c r="B184" s="93" t="s">
        <v>92</v>
      </c>
      <c r="C184" s="94" t="s">
        <v>56</v>
      </c>
      <c r="D184" s="94" t="s">
        <v>46</v>
      </c>
      <c r="E184" s="94" t="s">
        <v>47</v>
      </c>
    </row>
    <row r="185" spans="2:5">
      <c r="B185" s="93" t="s">
        <v>56</v>
      </c>
      <c r="C185" s="95">
        <v>5</v>
      </c>
      <c r="D185" s="95">
        <v>2</v>
      </c>
      <c r="E185" s="95">
        <v>0</v>
      </c>
    </row>
    <row r="186" spans="2:5">
      <c r="B186" s="93" t="s">
        <v>46</v>
      </c>
      <c r="C186" s="95">
        <v>3</v>
      </c>
      <c r="D186" s="95">
        <v>5</v>
      </c>
      <c r="E186" s="95">
        <v>0</v>
      </c>
    </row>
    <row r="187" spans="2:5">
      <c r="B187" s="93" t="s">
        <v>47</v>
      </c>
      <c r="C187" s="95">
        <v>0</v>
      </c>
      <c r="D187" s="95">
        <v>0</v>
      </c>
      <c r="E187" s="95">
        <v>0</v>
      </c>
    </row>
    <row r="188" spans="2:5">
      <c r="C188" s="88"/>
      <c r="D188" s="88"/>
      <c r="E188" s="99"/>
    </row>
    <row r="189" spans="2:5">
      <c r="B189" s="91" t="s">
        <v>91</v>
      </c>
      <c r="C189" s="88">
        <f>IF(C164&gt;0.9,1,0)</f>
        <v>0</v>
      </c>
      <c r="D189" s="88">
        <f>C189*INDEX(C191:E193,MATCH('Edit This Sheet'!$B$25,Inputs!C190:E190,0),MATCH('Edit This Sheet'!$D$25,Inputs!B191:B193,0))</f>
        <v>0</v>
      </c>
    </row>
    <row r="190" spans="2:5">
      <c r="B190" s="93" t="s">
        <v>92</v>
      </c>
      <c r="C190" s="94" t="s">
        <v>56</v>
      </c>
      <c r="D190" s="94" t="s">
        <v>46</v>
      </c>
      <c r="E190" s="94" t="s">
        <v>47</v>
      </c>
    </row>
    <row r="191" spans="2:5">
      <c r="B191" s="93" t="s">
        <v>56</v>
      </c>
      <c r="C191" s="95">
        <v>5</v>
      </c>
      <c r="D191" s="95">
        <v>3</v>
      </c>
      <c r="E191" s="95">
        <v>0</v>
      </c>
    </row>
    <row r="192" spans="2:5">
      <c r="B192" s="93" t="s">
        <v>46</v>
      </c>
      <c r="C192" s="95">
        <v>3</v>
      </c>
      <c r="D192" s="95">
        <v>5</v>
      </c>
      <c r="E192" s="95">
        <v>0</v>
      </c>
    </row>
    <row r="193" spans="2:5">
      <c r="B193" s="93" t="s">
        <v>47</v>
      </c>
      <c r="C193" s="95">
        <v>0</v>
      </c>
      <c r="D193" s="95">
        <v>0</v>
      </c>
      <c r="E193" s="95">
        <v>0</v>
      </c>
    </row>
    <row r="196" spans="2:5" ht="19.5" thickBot="1">
      <c r="B196" s="96" t="s">
        <v>105</v>
      </c>
      <c r="C196" s="97">
        <f>'Edit This Sheet'!A176/62</f>
        <v>0</v>
      </c>
      <c r="D196" s="98">
        <f>SUM(D197,D203,D209,D221)</f>
        <v>0</v>
      </c>
    </row>
    <row r="197" spans="2:5" ht="15.75">
      <c r="B197" s="90" t="s">
        <v>87</v>
      </c>
      <c r="C197" s="88">
        <f>IF(C196&lt;0.2,1,0)</f>
        <v>1</v>
      </c>
      <c r="D197" s="88">
        <f>C197*INDEX(C199:E201,MATCH('Edit This Sheet'!$B$26,Inputs!C198:E198,0),MATCH('Edit This Sheet'!$D$26,Inputs!B199:B201,0))</f>
        <v>0</v>
      </c>
    </row>
    <row r="198" spans="2:5">
      <c r="B198" s="93" t="s">
        <v>92</v>
      </c>
      <c r="C198" s="94" t="s">
        <v>56</v>
      </c>
      <c r="D198" s="94" t="s">
        <v>46</v>
      </c>
      <c r="E198" s="94" t="s">
        <v>47</v>
      </c>
    </row>
    <row r="199" spans="2:5">
      <c r="B199" s="93" t="s">
        <v>56</v>
      </c>
      <c r="C199" s="95">
        <v>2</v>
      </c>
      <c r="D199" s="95">
        <v>0</v>
      </c>
      <c r="E199" s="95">
        <v>0</v>
      </c>
    </row>
    <row r="200" spans="2:5">
      <c r="B200" s="93" t="s">
        <v>46</v>
      </c>
      <c r="C200" s="95">
        <v>0</v>
      </c>
      <c r="D200" s="95">
        <v>0</v>
      </c>
      <c r="E200" s="95">
        <v>0</v>
      </c>
    </row>
    <row r="201" spans="2:5">
      <c r="B201" s="93" t="s">
        <v>47</v>
      </c>
      <c r="C201" s="95">
        <v>0</v>
      </c>
      <c r="D201" s="95">
        <v>0</v>
      </c>
      <c r="E201" s="95">
        <v>0</v>
      </c>
    </row>
    <row r="203" spans="2:5">
      <c r="B203" s="91" t="s">
        <v>88</v>
      </c>
      <c r="C203" s="88">
        <f>IF(AND(C196&gt;=0.2,C196&lt;0.5),1,0)</f>
        <v>0</v>
      </c>
      <c r="D203" s="88">
        <f>C203*INDEX(C205:E207,MATCH('Edit This Sheet'!$B$26,Inputs!C204:E204,0),MATCH('Edit This Sheet'!$D$26,Inputs!B205:B207,0))</f>
        <v>0</v>
      </c>
    </row>
    <row r="204" spans="2:5">
      <c r="B204" s="93" t="s">
        <v>92</v>
      </c>
      <c r="C204" s="94" t="s">
        <v>56</v>
      </c>
      <c r="D204" s="94" t="s">
        <v>46</v>
      </c>
      <c r="E204" s="94" t="s">
        <v>47</v>
      </c>
    </row>
    <row r="205" spans="2:5">
      <c r="B205" s="93" t="s">
        <v>56</v>
      </c>
      <c r="C205" s="95">
        <v>3</v>
      </c>
      <c r="D205" s="95">
        <v>0</v>
      </c>
      <c r="E205" s="95">
        <v>0</v>
      </c>
    </row>
    <row r="206" spans="2:5">
      <c r="B206" s="93" t="s">
        <v>46</v>
      </c>
      <c r="C206" s="95">
        <v>1</v>
      </c>
      <c r="D206" s="95">
        <v>1</v>
      </c>
      <c r="E206" s="95">
        <v>0</v>
      </c>
    </row>
    <row r="207" spans="2:5">
      <c r="B207" s="92" t="s">
        <v>47</v>
      </c>
      <c r="C207" s="95">
        <v>0</v>
      </c>
      <c r="D207" s="95">
        <v>0</v>
      </c>
      <c r="E207" s="95">
        <v>0</v>
      </c>
    </row>
    <row r="208" spans="2:5">
      <c r="C208" s="88"/>
      <c r="D208" s="88"/>
    </row>
    <row r="209" spans="2:5">
      <c r="B209" s="91" t="s">
        <v>89</v>
      </c>
      <c r="C209" s="88">
        <f>IF(AND(C196&gt;=0.5,C196&lt;0.8),1,0)</f>
        <v>0</v>
      </c>
      <c r="D209" s="88">
        <f>C209*INDEX(C211:E213,MATCH('Edit This Sheet'!$B$26,Inputs!C210:E210,0),MATCH('Edit This Sheet'!$D$26,Inputs!B211:B213,0))</f>
        <v>0</v>
      </c>
    </row>
    <row r="210" spans="2:5">
      <c r="B210" s="93" t="s">
        <v>92</v>
      </c>
      <c r="C210" s="94" t="s">
        <v>56</v>
      </c>
      <c r="D210" s="94" t="s">
        <v>46</v>
      </c>
      <c r="E210" s="94" t="s">
        <v>47</v>
      </c>
    </row>
    <row r="211" spans="2:5">
      <c r="B211" s="93" t="s">
        <v>56</v>
      </c>
      <c r="C211" s="95">
        <v>4</v>
      </c>
      <c r="D211" s="95">
        <v>1</v>
      </c>
      <c r="E211" s="95">
        <v>0</v>
      </c>
    </row>
    <row r="212" spans="2:5">
      <c r="B212" s="93" t="s">
        <v>46</v>
      </c>
      <c r="C212" s="95">
        <v>2</v>
      </c>
      <c r="D212" s="95">
        <v>3</v>
      </c>
      <c r="E212" s="95">
        <v>0</v>
      </c>
    </row>
    <row r="213" spans="2:5">
      <c r="B213" s="93" t="s">
        <v>47</v>
      </c>
      <c r="C213" s="95">
        <v>0</v>
      </c>
      <c r="D213" s="95">
        <v>0</v>
      </c>
      <c r="E213" s="95">
        <v>0</v>
      </c>
    </row>
    <row r="214" spans="2:5">
      <c r="C214" s="88"/>
      <c r="D214" s="88"/>
      <c r="E214" s="99"/>
    </row>
    <row r="215" spans="2:5">
      <c r="B215" s="91" t="s">
        <v>90</v>
      </c>
      <c r="C215" s="88">
        <f>IF(AND(C196&gt;=0.5,C196&lt;0.8),1,0)</f>
        <v>0</v>
      </c>
      <c r="D215" s="88">
        <f>C215*INDEX(C217:E219,MATCH('Edit This Sheet'!$B$26,Inputs!C216:E216,0),MATCH('Edit This Sheet'!$D$26,Inputs!B217:B219,0))</f>
        <v>0</v>
      </c>
    </row>
    <row r="216" spans="2:5">
      <c r="B216" s="93" t="s">
        <v>92</v>
      </c>
      <c r="C216" s="94" t="s">
        <v>56</v>
      </c>
      <c r="D216" s="94" t="s">
        <v>46</v>
      </c>
      <c r="E216" s="94" t="s">
        <v>47</v>
      </c>
    </row>
    <row r="217" spans="2:5">
      <c r="B217" s="93" t="s">
        <v>56</v>
      </c>
      <c r="C217" s="95">
        <v>5</v>
      </c>
      <c r="D217" s="95">
        <v>2</v>
      </c>
      <c r="E217" s="95">
        <v>0</v>
      </c>
    </row>
    <row r="218" spans="2:5">
      <c r="B218" s="93" t="s">
        <v>46</v>
      </c>
      <c r="C218" s="95">
        <v>3</v>
      </c>
      <c r="D218" s="95">
        <v>5</v>
      </c>
      <c r="E218" s="95">
        <v>0</v>
      </c>
    </row>
    <row r="219" spans="2:5">
      <c r="B219" s="93" t="s">
        <v>47</v>
      </c>
      <c r="C219" s="95">
        <v>0</v>
      </c>
      <c r="D219" s="95">
        <v>0</v>
      </c>
      <c r="E219" s="95">
        <v>0</v>
      </c>
    </row>
    <row r="220" spans="2:5">
      <c r="C220" s="88"/>
      <c r="D220" s="88"/>
      <c r="E220" s="99"/>
    </row>
    <row r="221" spans="2:5">
      <c r="B221" s="91" t="s">
        <v>91</v>
      </c>
      <c r="C221" s="88">
        <f>IF(C196&gt;0.9,1,0)</f>
        <v>0</v>
      </c>
      <c r="D221" s="88">
        <f>C221*INDEX(C223:E225,MATCH('Edit This Sheet'!$B$26,Inputs!C222:E222,0),MATCH('Edit This Sheet'!$D$26,Inputs!B223:B225,0))</f>
        <v>0</v>
      </c>
    </row>
    <row r="222" spans="2:5">
      <c r="B222" s="93" t="s">
        <v>92</v>
      </c>
      <c r="C222" s="94" t="s">
        <v>56</v>
      </c>
      <c r="D222" s="94" t="s">
        <v>46</v>
      </c>
      <c r="E222" s="94" t="s">
        <v>47</v>
      </c>
    </row>
    <row r="223" spans="2:5">
      <c r="B223" s="93" t="s">
        <v>56</v>
      </c>
      <c r="C223" s="95">
        <v>5</v>
      </c>
      <c r="D223" s="95">
        <v>3</v>
      </c>
      <c r="E223" s="95">
        <v>0</v>
      </c>
    </row>
    <row r="224" spans="2:5">
      <c r="B224" s="93" t="s">
        <v>46</v>
      </c>
      <c r="C224" s="95">
        <v>3</v>
      </c>
      <c r="D224" s="95">
        <v>5</v>
      </c>
      <c r="E224" s="95">
        <v>0</v>
      </c>
    </row>
    <row r="225" spans="2:5">
      <c r="B225" s="93" t="s">
        <v>47</v>
      </c>
      <c r="C225" s="95">
        <v>0</v>
      </c>
      <c r="D225" s="95">
        <v>0</v>
      </c>
      <c r="E225" s="95">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ajohn_000</cp:lastModifiedBy>
  <cp:revision/>
  <cp:lastPrinted>2018-11-11T15:44:49Z</cp:lastPrinted>
  <dcterms:created xsi:type="dcterms:W3CDTF">2016-11-30T20:41:12Z</dcterms:created>
  <dcterms:modified xsi:type="dcterms:W3CDTF">2019-08-30T16:05:30Z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